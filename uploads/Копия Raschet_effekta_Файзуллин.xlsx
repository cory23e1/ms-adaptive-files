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Fayzullin\Documents\молодые специалисты\2026\ЕКТП Helper\"/>
    </mc:Choice>
  </mc:AlternateContent>
  <bookViews>
    <workbookView xWindow="-120" yWindow="-120" windowWidth="29040" windowHeight="15840" firstSheet="1" activeTab="5"/>
  </bookViews>
  <sheets>
    <sheet name="ФЗП" sheetId="7" state="hidden" r:id="rId1"/>
    <sheet name="Лист1" sheetId="1" r:id="rId2"/>
    <sheet name="Лист4" sheetId="8" r:id="rId3"/>
    <sheet name="расч " sheetId="6" state="hidden" r:id="rId4"/>
    <sheet name="Расчет_окупаемости" sheetId="4" r:id="rId5"/>
    <sheet name="NPV" sheetId="5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Print_Titles" localSheetId="3">'расч '!$5:$6</definedName>
    <definedName name="_xlnm.Print_Titles" localSheetId="0">ФЗП!$5:$6</definedName>
    <definedName name="_xlnm.Print_Area" localSheetId="3">'расч '!$A$1:$D$474</definedName>
    <definedName name="_xlnm.Print_Area" localSheetId="4">Расчет_окупаемости!$A$1:$G$40</definedName>
    <definedName name="_xlnm.Print_Area" localSheetId="0">ФЗП!$A$1:$D$444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H7" i="4" s="1"/>
  <c r="H8" i="4" s="1"/>
  <c r="H9" i="4" s="1"/>
  <c r="H10" i="4" s="1"/>
  <c r="H11" i="4" s="1"/>
  <c r="H12" i="4" s="1"/>
  <c r="H5" i="4"/>
  <c r="H4" i="4"/>
  <c r="B3" i="4" l="1"/>
  <c r="C3" i="4"/>
  <c r="E2" i="1"/>
  <c r="F2" i="1"/>
  <c r="F3" i="1"/>
  <c r="F4" i="1"/>
  <c r="D5" i="1"/>
  <c r="F5" i="1" s="1"/>
  <c r="E5" i="1"/>
  <c r="D6" i="1"/>
  <c r="F6" i="1" s="1"/>
  <c r="F8" i="1"/>
  <c r="F9" i="1"/>
  <c r="F10" i="1"/>
  <c r="E11" i="1"/>
  <c r="D12" i="1"/>
  <c r="D11" i="1" s="1"/>
  <c r="F11" i="1" s="1"/>
  <c r="F15" i="1"/>
  <c r="F16" i="1"/>
  <c r="F18" i="1"/>
  <c r="F19" i="1"/>
  <c r="E23" i="1" l="1"/>
  <c r="F12" i="1"/>
  <c r="D23" i="1"/>
  <c r="F23" i="1" s="1"/>
  <c r="E4" i="4"/>
  <c r="E3" i="4"/>
  <c r="D369" i="7" l="1"/>
  <c r="D372" i="7"/>
  <c r="D465" i="7"/>
  <c r="D432" i="7"/>
  <c r="D428" i="7"/>
  <c r="D427" i="7" s="1"/>
  <c r="D426" i="7" s="1"/>
  <c r="B428" i="7"/>
  <c r="E407" i="7"/>
  <c r="E400" i="7"/>
  <c r="D388" i="7"/>
  <c r="D385" i="7" s="1"/>
  <c r="D380" i="7"/>
  <c r="E378" i="7" s="1"/>
  <c r="E380" i="7" s="1"/>
  <c r="E370" i="7"/>
  <c r="E372" i="7" s="1"/>
  <c r="P368" i="7"/>
  <c r="Q368" i="7" s="1"/>
  <c r="B35" i="7"/>
  <c r="B32" i="7"/>
  <c r="C30" i="7"/>
  <c r="B29" i="7"/>
  <c r="C27" i="7"/>
  <c r="B26" i="7"/>
  <c r="B23" i="7"/>
  <c r="B20" i="7"/>
  <c r="B17" i="7"/>
  <c r="B14" i="7"/>
  <c r="B11" i="7"/>
  <c r="B8" i="7"/>
  <c r="P7" i="7"/>
  <c r="Q7" i="7" s="1"/>
  <c r="D3" i="7"/>
  <c r="D377" i="7" l="1"/>
  <c r="D368" i="7"/>
  <c r="E386" i="7"/>
  <c r="E388" i="7" s="1"/>
  <c r="E371" i="7"/>
  <c r="E373" i="7" s="1"/>
  <c r="E374" i="7" s="1"/>
  <c r="E369" i="7" s="1"/>
  <c r="D424" i="7"/>
  <c r="E424" i="7" s="1"/>
  <c r="D7" i="7"/>
  <c r="E379" i="7"/>
  <c r="E381" i="7" s="1"/>
  <c r="E382" i="7" s="1"/>
  <c r="E377" i="7" s="1"/>
  <c r="E387" i="7"/>
  <c r="E389" i="7"/>
  <c r="E390" i="7" s="1"/>
  <c r="E385" i="7" s="1"/>
  <c r="E368" i="7" l="1"/>
  <c r="D422" i="7"/>
  <c r="E422" i="7" s="1"/>
  <c r="E7" i="7"/>
  <c r="D437" i="7" l="1"/>
  <c r="D439" i="7" s="1"/>
  <c r="E439" i="7" l="1"/>
  <c r="E437" i="7"/>
  <c r="E2" i="4" l="1"/>
  <c r="E5" i="4"/>
  <c r="C4" i="4" l="1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C5" i="4" l="1"/>
  <c r="D4" i="4"/>
  <c r="D463" i="6"/>
  <c r="D460" i="6"/>
  <c r="B457" i="6"/>
  <c r="D452" i="6"/>
  <c r="D450" i="6"/>
  <c r="D443" i="6"/>
  <c r="D436" i="6"/>
  <c r="D429" i="6"/>
  <c r="D428" i="6"/>
  <c r="D427" i="6"/>
  <c r="D426" i="6"/>
  <c r="D424" i="6"/>
  <c r="D421" i="6"/>
  <c r="D420" i="6"/>
  <c r="D419" i="6"/>
  <c r="D417" i="6"/>
  <c r="D414" i="6"/>
  <c r="D412" i="6"/>
  <c r="D411" i="6"/>
  <c r="D409" i="6"/>
  <c r="E408" i="6" s="1"/>
  <c r="D406" i="6"/>
  <c r="D404" i="6"/>
  <c r="D403" i="6"/>
  <c r="D401" i="6"/>
  <c r="E400" i="6" s="1"/>
  <c r="D395" i="6"/>
  <c r="D392" i="6"/>
  <c r="D389" i="6"/>
  <c r="D386" i="6"/>
  <c r="D383" i="6"/>
  <c r="D380" i="6"/>
  <c r="D377" i="6"/>
  <c r="D374" i="6"/>
  <c r="D371" i="6"/>
  <c r="D368" i="6"/>
  <c r="D365" i="6"/>
  <c r="D362" i="6"/>
  <c r="D359" i="6"/>
  <c r="D356" i="6"/>
  <c r="D353" i="6"/>
  <c r="D350" i="6"/>
  <c r="D347" i="6"/>
  <c r="D344" i="6"/>
  <c r="D341" i="6"/>
  <c r="D338" i="6"/>
  <c r="D335" i="6"/>
  <c r="D332" i="6"/>
  <c r="D329" i="6"/>
  <c r="D326" i="6"/>
  <c r="D323" i="6"/>
  <c r="D320" i="6"/>
  <c r="D317" i="6"/>
  <c r="D314" i="6"/>
  <c r="D311" i="6"/>
  <c r="D308" i="6"/>
  <c r="D305" i="6"/>
  <c r="D302" i="6"/>
  <c r="D299" i="6"/>
  <c r="D296" i="6"/>
  <c r="D293" i="6"/>
  <c r="D290" i="6"/>
  <c r="D287" i="6"/>
  <c r="D284" i="6"/>
  <c r="D281" i="6"/>
  <c r="D278" i="6"/>
  <c r="D275" i="6"/>
  <c r="D272" i="6"/>
  <c r="D269" i="6"/>
  <c r="D266" i="6"/>
  <c r="D263" i="6"/>
  <c r="D260" i="6"/>
  <c r="D257" i="6"/>
  <c r="D254" i="6"/>
  <c r="D251" i="6"/>
  <c r="D248" i="6"/>
  <c r="D245" i="6"/>
  <c r="D242" i="6"/>
  <c r="D239" i="6"/>
  <c r="D236" i="6"/>
  <c r="D233" i="6"/>
  <c r="D230" i="6"/>
  <c r="D227" i="6"/>
  <c r="D224" i="6"/>
  <c r="D221" i="6"/>
  <c r="D218" i="6"/>
  <c r="D215" i="6"/>
  <c r="D212" i="6"/>
  <c r="D209" i="6"/>
  <c r="D206" i="6"/>
  <c r="D203" i="6"/>
  <c r="D200" i="6"/>
  <c r="D197" i="6"/>
  <c r="D194" i="6"/>
  <c r="D191" i="6"/>
  <c r="D188" i="6"/>
  <c r="D185" i="6"/>
  <c r="D182" i="6"/>
  <c r="D179" i="6"/>
  <c r="D176" i="6"/>
  <c r="D173" i="6"/>
  <c r="D170" i="6"/>
  <c r="D167" i="6"/>
  <c r="D164" i="6"/>
  <c r="D161" i="6"/>
  <c r="D158" i="6"/>
  <c r="D155" i="6"/>
  <c r="D152" i="6"/>
  <c r="D149" i="6"/>
  <c r="D146" i="6"/>
  <c r="D143" i="6"/>
  <c r="D140" i="6"/>
  <c r="D137" i="6"/>
  <c r="D134" i="6"/>
  <c r="D131" i="6"/>
  <c r="D128" i="6"/>
  <c r="D125" i="6"/>
  <c r="D122" i="6"/>
  <c r="D119" i="6"/>
  <c r="D116" i="6"/>
  <c r="D113" i="6"/>
  <c r="D110" i="6"/>
  <c r="D107" i="6"/>
  <c r="D104" i="6"/>
  <c r="D101" i="6"/>
  <c r="D98" i="6"/>
  <c r="D95" i="6"/>
  <c r="D92" i="6"/>
  <c r="D89" i="6"/>
  <c r="D86" i="6"/>
  <c r="D83" i="6"/>
  <c r="D80" i="6"/>
  <c r="D77" i="6"/>
  <c r="D74" i="6"/>
  <c r="D71" i="6"/>
  <c r="D68" i="6"/>
  <c r="D65" i="6"/>
  <c r="D62" i="6"/>
  <c r="D59" i="6"/>
  <c r="D56" i="6"/>
  <c r="D53" i="6"/>
  <c r="D50" i="6"/>
  <c r="D47" i="6"/>
  <c r="D44" i="6"/>
  <c r="D41" i="6"/>
  <c r="D38" i="6"/>
  <c r="D35" i="6"/>
  <c r="D32" i="6"/>
  <c r="D29" i="6"/>
  <c r="D26" i="6"/>
  <c r="D25" i="6"/>
  <c r="D22" i="6"/>
  <c r="E2" i="6"/>
  <c r="E410" i="6" l="1"/>
  <c r="D399" i="6"/>
  <c r="D407" i="6"/>
  <c r="E402" i="6"/>
  <c r="E401" i="6"/>
  <c r="D7" i="6"/>
  <c r="E409" i="6"/>
  <c r="E411" i="6" s="1"/>
  <c r="D457" i="6"/>
  <c r="D456" i="6" s="1"/>
  <c r="D455" i="6" s="1"/>
  <c r="E398" i="6" l="1"/>
  <c r="E407" i="6"/>
  <c r="D398" i="6"/>
  <c r="E451" i="6" s="1"/>
  <c r="E403" i="6"/>
  <c r="E399" i="6" s="1"/>
  <c r="E457" i="6"/>
  <c r="D453" i="6" l="1"/>
  <c r="D451" i="6"/>
  <c r="E467" i="6" s="1"/>
  <c r="E453" i="6"/>
  <c r="D467" i="6" l="1"/>
  <c r="D469" i="6" s="1"/>
  <c r="E469" i="6" l="1"/>
  <c r="E468" i="6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F4" i="4" l="1"/>
  <c r="C6" i="4" l="1"/>
  <c r="D5" i="4"/>
  <c r="F5" i="4" s="1"/>
  <c r="C32" i="4"/>
  <c r="D32" i="4" s="1"/>
  <c r="F32" i="4" s="1"/>
  <c r="C7" i="4" l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8" i="4"/>
  <c r="D28" i="4" s="1"/>
  <c r="F28" i="4" s="1"/>
  <c r="C33" i="4"/>
  <c r="D33" i="4" s="1"/>
  <c r="F33" i="4" s="1"/>
  <c r="C31" i="4"/>
  <c r="D31" i="4" s="1"/>
  <c r="F31" i="4" s="1"/>
  <c r="C30" i="4"/>
  <c r="D30" i="4" s="1"/>
  <c r="F30" i="4" s="1"/>
  <c r="C29" i="4"/>
  <c r="D29" i="4" s="1"/>
  <c r="F29" i="4" s="1"/>
  <c r="C26" i="4"/>
  <c r="C35" i="4"/>
  <c r="D35" i="4" s="1"/>
  <c r="F35" i="4" s="1"/>
  <c r="C37" i="4"/>
  <c r="D37" i="4" s="1"/>
  <c r="F37" i="4" s="1"/>
  <c r="C27" i="4"/>
  <c r="D27" i="4" s="1"/>
  <c r="F27" i="4" s="1"/>
  <c r="C34" i="4"/>
  <c r="D34" i="4" s="1"/>
  <c r="F34" i="4" s="1"/>
  <c r="C36" i="4"/>
  <c r="D36" i="4" s="1"/>
  <c r="F36" i="4" s="1"/>
  <c r="D6" i="4" l="1"/>
  <c r="F6" i="4" l="1"/>
  <c r="D7" i="4"/>
  <c r="F7" i="4" s="1"/>
  <c r="D8" i="4" l="1"/>
  <c r="F8" i="4" s="1"/>
  <c r="D9" i="4" l="1"/>
  <c r="F9" i="4" s="1"/>
  <c r="D10" i="4" l="1"/>
  <c r="F10" i="4" s="1"/>
  <c r="D11" i="4" l="1"/>
  <c r="F11" i="4" s="1"/>
  <c r="D12" i="4" l="1"/>
  <c r="F12" i="4" s="1"/>
  <c r="D13" i="4" l="1"/>
  <c r="F13" i="4" s="1"/>
  <c r="D14" i="4" l="1"/>
  <c r="F14" i="4" s="1"/>
  <c r="D15" i="4" l="1"/>
  <c r="F15" i="4" s="1"/>
  <c r="D16" i="4" l="1"/>
  <c r="F16" i="4" s="1"/>
  <c r="D17" i="4" l="1"/>
  <c r="F17" i="4" s="1"/>
  <c r="D18" i="4" l="1"/>
  <c r="F18" i="4" s="1"/>
  <c r="D19" i="4" l="1"/>
  <c r="F19" i="4" s="1"/>
  <c r="D20" i="4" l="1"/>
  <c r="F20" i="4" s="1"/>
  <c r="D21" i="4" l="1"/>
  <c r="F21" i="4" s="1"/>
  <c r="D22" i="4" l="1"/>
  <c r="F22" i="4" s="1"/>
  <c r="D3" i="4"/>
  <c r="F3" i="4" s="1"/>
  <c r="G3" i="4" s="1"/>
  <c r="B26" i="4" l="1"/>
  <c r="D26" i="4" s="1"/>
  <c r="F26" i="4" s="1"/>
  <c r="G26" i="4" s="1"/>
  <c r="G27" i="4" l="1"/>
  <c r="I26" i="4"/>
  <c r="G4" i="4"/>
  <c r="I3" i="4"/>
  <c r="G5" i="4" l="1"/>
  <c r="I4" i="4"/>
  <c r="G28" i="4"/>
  <c r="I27" i="4"/>
  <c r="I28" i="4" l="1"/>
  <c r="G29" i="4"/>
  <c r="I5" i="4"/>
  <c r="G6" i="4"/>
  <c r="G7" i="4" l="1"/>
  <c r="I6" i="4"/>
  <c r="G30" i="4"/>
  <c r="I29" i="4"/>
  <c r="G31" i="4" l="1"/>
  <c r="I30" i="4"/>
  <c r="G8" i="4"/>
  <c r="G9" i="4" s="1"/>
  <c r="I7" i="4"/>
  <c r="I8" i="4" l="1"/>
  <c r="G32" i="4"/>
  <c r="I31" i="4"/>
  <c r="I32" i="4" l="1"/>
  <c r="G33" i="4"/>
  <c r="G10" i="4"/>
  <c r="I9" i="4"/>
  <c r="I10" i="4" l="1"/>
  <c r="G11" i="4"/>
  <c r="G34" i="4"/>
  <c r="I33" i="4"/>
  <c r="I34" i="4" l="1"/>
  <c r="G35" i="4"/>
  <c r="I11" i="4"/>
  <c r="G12" i="4"/>
  <c r="I12" i="4" l="1"/>
  <c r="G13" i="4"/>
  <c r="G36" i="4"/>
  <c r="I35" i="4"/>
  <c r="G37" i="4" l="1"/>
  <c r="I37" i="4" s="1"/>
  <c r="I38" i="4" s="1"/>
  <c r="I36" i="4"/>
  <c r="I13" i="4"/>
  <c r="G14" i="4"/>
  <c r="G15" i="4" l="1"/>
  <c r="I14" i="4"/>
  <c r="G16" i="4" l="1"/>
  <c r="I15" i="4"/>
  <c r="I16" i="4" l="1"/>
  <c r="G17" i="4"/>
  <c r="G18" i="4" l="1"/>
  <c r="I17" i="4"/>
  <c r="I18" i="4" l="1"/>
  <c r="G19" i="4"/>
  <c r="G20" i="4" l="1"/>
  <c r="I19" i="4"/>
  <c r="I20" i="4" l="1"/>
  <c r="G21" i="4"/>
  <c r="I21" i="4" l="1"/>
  <c r="G22" i="4"/>
  <c r="I22" i="4" s="1"/>
  <c r="I23" i="4" s="1"/>
</calcChain>
</file>

<file path=xl/sharedStrings.xml><?xml version="1.0" encoding="utf-8"?>
<sst xmlns="http://schemas.openxmlformats.org/spreadsheetml/2006/main" count="1636" uniqueCount="286">
  <si>
    <t>№ п/п</t>
  </si>
  <si>
    <t>Наименование статьи затрат</t>
  </si>
  <si>
    <t>Ед. измерения</t>
  </si>
  <si>
    <t>Эффект ("-" сокращение/"+" увеличение)</t>
  </si>
  <si>
    <t>1.</t>
  </si>
  <si>
    <t>Капитальные вложения</t>
  </si>
  <si>
    <t>руб.</t>
  </si>
  <si>
    <t>2.</t>
  </si>
  <si>
    <t>2.1.</t>
  </si>
  <si>
    <t>Финансовый результат, всего</t>
  </si>
  <si>
    <t>Расчет приведенной стоимости, за 5 лет</t>
  </si>
  <si>
    <t>Год</t>
  </si>
  <si>
    <t>Затраты на приобретение ОС
(инвестиции)</t>
  </si>
  <si>
    <t xml:space="preserve">Снижение затрат </t>
  </si>
  <si>
    <t>Сальдо</t>
  </si>
  <si>
    <t>Сальдо с учетом КД</t>
  </si>
  <si>
    <t>NPV</t>
  </si>
  <si>
    <t>Расчет приведенной стоимости за первый год помесячно:</t>
  </si>
  <si>
    <t>Месяц</t>
  </si>
  <si>
    <t>Расходы</t>
  </si>
  <si>
    <t>Доходы</t>
  </si>
  <si>
    <t xml:space="preserve">РАСЧЕТ к калькуляции </t>
  </si>
  <si>
    <t>ввести с 1.01.2020г.</t>
  </si>
  <si>
    <t>ввести с 1.01.2017г.</t>
  </si>
  <si>
    <t>Статьи затрат</t>
  </si>
  <si>
    <t>Ед. изм.</t>
  </si>
  <si>
    <t>Сумма</t>
  </si>
  <si>
    <t>ввести с 1.01.2014г.</t>
  </si>
  <si>
    <t>1</t>
  </si>
  <si>
    <t>Материалы</t>
  </si>
  <si>
    <t>1.1</t>
  </si>
  <si>
    <t xml:space="preserve">Ветошь </t>
  </si>
  <si>
    <t>руб</t>
  </si>
  <si>
    <t>норма расхода</t>
  </si>
  <si>
    <t>кг.</t>
  </si>
  <si>
    <t>цена за единицу</t>
  </si>
  <si>
    <t>1.2</t>
  </si>
  <si>
    <t>Смазка Литол-24 (9кг)</t>
  </si>
  <si>
    <t>шт.</t>
  </si>
  <si>
    <t>1.3</t>
  </si>
  <si>
    <t>Набивка сальниковая АФТ 6х6</t>
  </si>
  <si>
    <t>1.5</t>
  </si>
  <si>
    <t>1.6</t>
  </si>
  <si>
    <t>л.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</si>
  <si>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</si>
  <si>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</si>
  <si>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</si>
  <si>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</si>
  <si>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</si>
  <si>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</si>
  <si>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</si>
  <si>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</si>
  <si>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</si>
  <si>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</si>
  <si>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</si>
  <si>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</si>
  <si>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</si>
  <si>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</si>
  <si>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</si>
  <si>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</si>
  <si>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</si>
  <si>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</si>
  <si>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</si>
  <si>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</si>
  <si>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</si>
  <si>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</si>
  <si>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</si>
  <si>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</si>
  <si>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</si>
  <si>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</si>
  <si>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</si>
  <si>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</si>
  <si>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</si>
  <si>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</si>
  <si>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</si>
  <si>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</si>
  <si>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</si>
  <si>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</si>
  <si>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</si>
  <si>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</si>
  <si>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</si>
  <si>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</si>
  <si>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</si>
  <si>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</si>
  <si>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</si>
  <si>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</si>
  <si>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</si>
  <si>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</si>
  <si>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</si>
  <si>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</si>
  <si>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</si>
  <si>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</si>
  <si>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</si>
  <si>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</si>
  <si>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</si>
  <si>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</si>
  <si>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</si>
  <si>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</si>
  <si>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</si>
  <si>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</si>
  <si>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</si>
  <si>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</si>
  <si>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</si>
  <si>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</si>
  <si>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</si>
  <si>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</si>
  <si>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</si>
  <si>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</si>
  <si>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</si>
  <si>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</si>
  <si>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</si>
  <si>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</si>
  <si>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</si>
  <si>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</si>
  <si>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</si>
  <si>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</si>
  <si>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</si>
  <si>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</si>
  <si>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</si>
  <si>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</si>
  <si>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t>1.83</t>
  </si>
  <si>
    <t>1.84</t>
  </si>
  <si>
    <t>1.85</t>
  </si>
  <si>
    <t>1.86</t>
  </si>
  <si>
    <t>1.87</t>
  </si>
  <si>
    <t>1.88</t>
  </si>
  <si>
    <t>1.89</t>
  </si>
  <si>
    <t>1.90</t>
  </si>
  <si>
    <t>1.91</t>
  </si>
  <si>
    <t>1.92</t>
  </si>
  <si>
    <t>1.93</t>
  </si>
  <si>
    <t>1.94</t>
  </si>
  <si>
    <t>1.95</t>
  </si>
  <si>
    <t>1.96</t>
  </si>
  <si>
    <t>1.97</t>
  </si>
  <si>
    <t>1.98</t>
  </si>
  <si>
    <t>1.99</t>
  </si>
  <si>
    <t>1.100</t>
  </si>
  <si>
    <t>1.101</t>
  </si>
  <si>
    <t>1.102</t>
  </si>
  <si>
    <t>1.103</t>
  </si>
  <si>
    <t>1.104</t>
  </si>
  <si>
    <t>1.105</t>
  </si>
  <si>
    <t>1.106</t>
  </si>
  <si>
    <t>1.107</t>
  </si>
  <si>
    <t>1.108</t>
  </si>
  <si>
    <t>1.109</t>
  </si>
  <si>
    <t>1.110</t>
  </si>
  <si>
    <t>1.111</t>
  </si>
  <si>
    <t>1.112</t>
  </si>
  <si>
    <t>1.113</t>
  </si>
  <si>
    <t>1.114</t>
  </si>
  <si>
    <t>1.115</t>
  </si>
  <si>
    <t>1.116</t>
  </si>
  <si>
    <t>1.117</t>
  </si>
  <si>
    <t>1.118</t>
  </si>
  <si>
    <t>2</t>
  </si>
  <si>
    <t>Фонд оплаты труда</t>
  </si>
  <si>
    <t>2.1</t>
  </si>
  <si>
    <t>Слесарь ремонтник 4 разр.</t>
  </si>
  <si>
    <t>Количество человек</t>
  </si>
  <si>
    <t>чел</t>
  </si>
  <si>
    <t>Часовая тарифная ставка</t>
  </si>
  <si>
    <t>Часы работы</t>
  </si>
  <si>
    <t>час</t>
  </si>
  <si>
    <t>Премия</t>
  </si>
  <si>
    <t>%</t>
  </si>
  <si>
    <t>Дополнительная з/пл</t>
  </si>
  <si>
    <t>Выплаты по приоритетным профессиям</t>
  </si>
  <si>
    <t>Районный коэффициент</t>
  </si>
  <si>
    <t>2.2</t>
  </si>
  <si>
    <t>Слесарь ремонтник 5 разр.</t>
  </si>
  <si>
    <t>2,5</t>
  </si>
  <si>
    <t>2,6</t>
  </si>
  <si>
    <t>2,7</t>
  </si>
  <si>
    <t>3</t>
  </si>
  <si>
    <t>Страховые взносы социального характера</t>
  </si>
  <si>
    <t>% отчислений</t>
  </si>
  <si>
    <t>4</t>
  </si>
  <si>
    <t>Цеховые расходы</t>
  </si>
  <si>
    <t>% Цеховых расходов</t>
  </si>
  <si>
    <t>5</t>
  </si>
  <si>
    <t>Услуги подрядчиков</t>
  </si>
  <si>
    <t>5.1</t>
  </si>
  <si>
    <t>в т.ч. транспортные расходы</t>
  </si>
  <si>
    <t>Стоимость 1маш-часа</t>
  </si>
  <si>
    <t>Продолжительность работы</t>
  </si>
  <si>
    <t>6</t>
  </si>
  <si>
    <t>Прочие расходы</t>
  </si>
  <si>
    <t>7</t>
  </si>
  <si>
    <t>Общехозяйственные расходы</t>
  </si>
  <si>
    <t xml:space="preserve">% Общехозяйственных расходов </t>
  </si>
  <si>
    <t xml:space="preserve">Итого себестоимость </t>
  </si>
  <si>
    <t>Начальник ТТО</t>
  </si>
  <si>
    <t>Н.С. Корняева</t>
  </si>
  <si>
    <t>Начальник ПЭО</t>
  </si>
  <si>
    <t>Д.В.Ульянов</t>
  </si>
  <si>
    <t>тыс.руб.</t>
  </si>
  <si>
    <t>тыс. руб.</t>
  </si>
  <si>
    <t>тыс .руб.</t>
  </si>
  <si>
    <t>3.</t>
  </si>
  <si>
    <t>4.</t>
  </si>
  <si>
    <t>кг</t>
  </si>
  <si>
    <t>шт</t>
  </si>
  <si>
    <t>т</t>
  </si>
  <si>
    <t>1.4</t>
  </si>
  <si>
    <t xml:space="preserve">Слесарь КИПиА </t>
  </si>
  <si>
    <t>2.3</t>
  </si>
  <si>
    <t>Электрогазосварщик</t>
  </si>
  <si>
    <t>2,4</t>
  </si>
  <si>
    <t>Стоимость 1  км пробега</t>
  </si>
  <si>
    <t>Пробег</t>
  </si>
  <si>
    <t>км</t>
  </si>
  <si>
    <t>зел дб 0</t>
  </si>
  <si>
    <t>Оператор 5 разряда</t>
  </si>
  <si>
    <t>Потеря выручки за время простоя котельной в отопительный сезон</t>
  </si>
  <si>
    <t>Время простоя котельной во время порыва</t>
  </si>
  <si>
    <t>ч.</t>
  </si>
  <si>
    <t>Производительность котельной</t>
  </si>
  <si>
    <t>Гкал/ч.</t>
  </si>
  <si>
    <t>Средний тариф по теплоснабжению</t>
  </si>
  <si>
    <t>руб./Гкал.</t>
  </si>
  <si>
    <t>3.1.</t>
  </si>
  <si>
    <t>2.1.1.</t>
  </si>
  <si>
    <t>2.1.2.</t>
  </si>
  <si>
    <t>2.1.3.</t>
  </si>
  <si>
    <t>м3</t>
  </si>
  <si>
    <t>Цена на нефть</t>
  </si>
  <si>
    <t>Цена на газ</t>
  </si>
  <si>
    <t>руб./тн</t>
  </si>
  <si>
    <t>руб./м3</t>
  </si>
  <si>
    <t>До реализации проекта</t>
  </si>
  <si>
    <t>После реализации проекта</t>
  </si>
  <si>
    <t xml:space="preserve"> - уточнить данные!!!</t>
  </si>
  <si>
    <t>Цена на топливо</t>
  </si>
  <si>
    <t>3.3.</t>
  </si>
  <si>
    <t>3.3.1.</t>
  </si>
  <si>
    <t>3.3.2.</t>
  </si>
  <si>
    <t>3.2.</t>
  </si>
  <si>
    <t>3.2.1.</t>
  </si>
  <si>
    <t>3.2.2.</t>
  </si>
  <si>
    <t xml:space="preserve"> На газовых котельных</t>
  </si>
  <si>
    <t xml:space="preserve"> На нефтяных котельных</t>
  </si>
  <si>
    <t xml:space="preserve">Средний объем ТС </t>
  </si>
  <si>
    <t xml:space="preserve"> по газ.котельным</t>
  </si>
  <si>
    <t xml:space="preserve"> по нефтяным котельным</t>
  </si>
  <si>
    <t>3.4.</t>
  </si>
  <si>
    <t>3.4.1.</t>
  </si>
  <si>
    <t>3.4.2.</t>
  </si>
  <si>
    <t xml:space="preserve">м3 газа/м3 </t>
  </si>
  <si>
    <t>Среднее количество порывов за отопительный сезон</t>
  </si>
  <si>
    <t>Расходы на восстановление теплоснабжения в отопительный сезон</t>
  </si>
  <si>
    <t>Расходы, всего</t>
  </si>
  <si>
    <t>Доходы, всего</t>
  </si>
  <si>
    <t>Расход топлива на подогрев теплоносителя</t>
  </si>
  <si>
    <t xml:space="preserve">тн/м3 </t>
  </si>
  <si>
    <t>№ п./п.</t>
  </si>
  <si>
    <t xml:space="preserve">Наименование </t>
  </si>
  <si>
    <t>Едининца измерения</t>
  </si>
  <si>
    <t>Тепловизионный контроль</t>
  </si>
  <si>
    <t>Приложение с автоматической обработкой данных</t>
  </si>
  <si>
    <t>Затраты на тепловизионный контроль</t>
  </si>
  <si>
    <t>Количество ПС 35-110 кВ в ООО «Удмуртэнергонефть»</t>
  </si>
  <si>
    <t xml:space="preserve">Время проведения тепловизонного контроля одной ПС 35-110 кВ </t>
  </si>
  <si>
    <t>Среднее количество обходов для выполнения тепловизионного контроля одной подстанции в год</t>
  </si>
  <si>
    <t>кол-во</t>
  </si>
  <si>
    <t>Затраты на обход ПС 35-110 кВ в ООО «Удмуртэнергонефть» за год</t>
  </si>
  <si>
    <t>Среднее расстояние между ООО «Удмуртэнергонефть» и ПС 35-110 кВ (в обе стороны)</t>
  </si>
  <si>
    <t>139,2‬</t>
  </si>
  <si>
    <t>Стоимость за 1 машино-час</t>
  </si>
  <si>
    <t>241.87</t>
  </si>
  <si>
    <t>Стоимость за 1 км.</t>
  </si>
  <si>
    <t>Общие затраты на транспорт</t>
  </si>
  <si>
    <t>Стоимость тепловизора HIKMICRO G40 (5 шт.)</t>
  </si>
  <si>
    <t>тыс. руб./5 шт.</t>
  </si>
  <si>
    <t>4 999,9</t>
  </si>
  <si>
    <t>Затраты на тепловизионный контроль, итого</t>
  </si>
  <si>
    <t>-</t>
  </si>
  <si>
    <t>Затраты на установку приложения автомат. обработки данных</t>
  </si>
  <si>
    <t>IP-камера DH-IPC-HFW3841EP-AS-0280B</t>
  </si>
  <si>
    <t>тыс. руб./4 шт.</t>
  </si>
  <si>
    <t>2.2.</t>
  </si>
  <si>
    <t>2.3.</t>
  </si>
  <si>
    <t>Затраты на установку приложения автомат. обработки данных, итого</t>
  </si>
  <si>
    <t>Зарплата ведущего инженера РЗА за 1 ч.</t>
  </si>
  <si>
    <t>5 558,1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</si>
</sst>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#,##0.0"/>
    <numFmt numFmtId="167" formatCode="0.0000"/>
  </numFmts>
  <fonts count="48" x14ac:knownFonts="1">
    <font>
      <sz val="11"/>
      <color theme="1"/>
      <name val="Calibri"/>
      <family val="2"/>
      <charset val="204"/>
      <scheme val="minor"/>
    </font>
    <font>
      <sz val="8"/>
      <color rgb="FFFFFFFF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Helv"/>
    </font>
    <font>
      <sz val="10"/>
      <name val="Arial Cyr"/>
      <charset val="204"/>
    </font>
    <font>
      <b/>
      <sz val="12"/>
      <name val="Arial Cyr"/>
      <family val="2"/>
      <charset val="204"/>
    </font>
    <font>
      <b/>
      <sz val="11"/>
      <name val="Arial CYR"/>
      <family val="2"/>
      <charset val="204"/>
    </font>
    <font>
      <b/>
      <sz val="12"/>
      <color indexed="10"/>
      <name val="Arial Cyr"/>
      <family val="2"/>
      <charset val="204"/>
    </font>
    <font>
      <b/>
      <sz val="12"/>
      <color indexed="12"/>
      <name val="Arial Cyr"/>
      <family val="2"/>
      <charset val="204"/>
    </font>
    <font>
      <b/>
      <sz val="11"/>
      <name val="Arial"/>
      <family val="2"/>
      <charset val="204"/>
    </font>
    <font>
      <sz val="12"/>
      <name val="Arial Cyr"/>
      <family val="2"/>
      <charset val="204"/>
    </font>
    <font>
      <sz val="11"/>
      <name val="Arial"/>
      <family val="2"/>
      <charset val="204"/>
    </font>
    <font>
      <b/>
      <sz val="12"/>
      <name val="Arial Cyr"/>
      <charset val="204"/>
    </font>
    <font>
      <b/>
      <sz val="11"/>
      <color indexed="8"/>
      <name val="Arial"/>
      <family val="2"/>
      <charset val="204"/>
    </font>
    <font>
      <b/>
      <sz val="11"/>
      <name val="Arial CE"/>
      <family val="2"/>
      <charset val="238"/>
    </font>
    <font>
      <sz val="11"/>
      <color indexed="8"/>
      <name val="Arial"/>
      <family val="2"/>
      <charset val="204"/>
    </font>
    <font>
      <b/>
      <sz val="11"/>
      <name val="Helv"/>
    </font>
    <font>
      <b/>
      <sz val="11"/>
      <name val="Arial Cyr"/>
      <charset val="204"/>
    </font>
    <font>
      <b/>
      <sz val="12"/>
      <color indexed="12"/>
      <name val="Arial Cyr"/>
      <charset val="204"/>
    </font>
    <font>
      <sz val="10"/>
      <name val="Arial Cyr"/>
      <family val="2"/>
      <charset val="204"/>
    </font>
    <font>
      <sz val="10"/>
      <color indexed="10"/>
      <name val="Arial Cyr"/>
      <charset val="204"/>
    </font>
    <font>
      <b/>
      <sz val="12"/>
      <color indexed="10"/>
      <name val="Arial Cyr"/>
      <charset val="204"/>
    </font>
    <font>
      <sz val="9"/>
      <name val="Arial Cyr"/>
      <family val="2"/>
      <charset val="204"/>
    </font>
    <font>
      <u/>
      <sz val="12"/>
      <name val="Arial Cyr"/>
      <charset val="204"/>
    </font>
    <font>
      <u/>
      <sz val="12"/>
      <name val="Arial Cyr"/>
      <family val="2"/>
      <charset val="204"/>
    </font>
    <font>
      <b/>
      <sz val="12"/>
      <name val="Arial"/>
      <family val="2"/>
      <charset val="204"/>
    </font>
    <font>
      <b/>
      <sz val="11"/>
      <color rgb="FFFF0000"/>
      <name val="Arial Cyr"/>
      <family val="2"/>
      <charset val="204"/>
    </font>
    <font>
      <b/>
      <sz val="12"/>
      <color indexed="17"/>
      <name val="Arial Cyr"/>
      <family val="2"/>
      <charset val="204"/>
    </font>
    <font>
      <sz val="12"/>
      <color rgb="FFFF0000"/>
      <name val="Arial Cyr"/>
      <family val="2"/>
      <charset val="204"/>
    </font>
    <font>
      <sz val="8"/>
      <name val="Arial Cyr"/>
      <charset val="204"/>
    </font>
    <font>
      <b/>
      <sz val="12"/>
      <color rgb="FFFF0000"/>
      <name val="Arial Cyr"/>
      <family val="2"/>
      <charset val="204"/>
    </font>
    <font>
      <b/>
      <sz val="12"/>
      <color indexed="17"/>
      <name val="Arial Cyr"/>
      <charset val="204"/>
    </font>
    <font>
      <b/>
      <sz val="16"/>
      <color indexed="17"/>
      <name val="Arial Cyr"/>
      <family val="2"/>
      <charset val="204"/>
    </font>
    <font>
      <u/>
      <sz val="12"/>
      <color rgb="FFFF0000"/>
      <name val="Arial Cyr"/>
      <family val="2"/>
      <charset val="204"/>
    </font>
    <font>
      <sz val="10"/>
      <name val="Times New Roman"/>
      <family val="1"/>
      <charset val="204"/>
    </font>
    <font>
      <i/>
      <sz val="8"/>
      <color rgb="FF000000"/>
      <name val="Arial"/>
      <family val="2"/>
      <charset val="204"/>
    </font>
    <font>
      <sz val="18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Europe"/>
    </font>
    <font>
      <sz val="10"/>
      <color rgb="FF000000"/>
      <name val="Arial"/>
    </font>
    <font>
      <sz val="10.5"/>
      <color rgb="FF000000"/>
      <name val="Arial"/>
    </font>
    <font>
      <b/>
      <sz val="10"/>
      <color rgb="FF000000"/>
      <name val="Europe"/>
    </font>
  </fonts>
  <fills count="15">
    <fill>
      <patternFill patternType="none"/>
    </fill>
    <fill>
      <patternFill patternType="gray125"/>
    </fill>
    <fill>
      <patternFill patternType="solid">
        <fgColor rgb="FF6B6B6B"/>
        <bgColor indexed="64"/>
      </patternFill>
    </fill>
    <fill>
      <patternFill patternType="solid">
        <fgColor rgb="FFFED20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rgb="FFF6D106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4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37" fillId="0" borderId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</cellStyleXfs>
  <cellXfs count="216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right" vertical="center" wrapText="1" readingOrder="1"/>
    </xf>
    <xf numFmtId="3" fontId="2" fillId="3" borderId="1" xfId="0" applyNumberFormat="1" applyFont="1" applyFill="1" applyBorder="1" applyAlignment="1">
      <alignment horizontal="right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right" vertical="center" wrapText="1" readingOrder="1"/>
    </xf>
    <xf numFmtId="3" fontId="3" fillId="0" borderId="1" xfId="0" applyNumberFormat="1" applyFont="1" applyBorder="1" applyAlignment="1">
      <alignment horizontal="right" vertical="center" wrapText="1" readingOrder="1"/>
    </xf>
    <xf numFmtId="0" fontId="5" fillId="0" borderId="0" xfId="1" applyFont="1"/>
    <xf numFmtId="0" fontId="4" fillId="0" borderId="0" xfId="1"/>
    <xf numFmtId="0" fontId="5" fillId="4" borderId="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right"/>
    </xf>
    <xf numFmtId="0" fontId="4" fillId="0" borderId="0" xfId="1" applyFont="1"/>
    <xf numFmtId="0" fontId="4" fillId="5" borderId="2" xfId="1" applyFill="1" applyBorder="1"/>
    <xf numFmtId="1" fontId="5" fillId="0" borderId="2" xfId="1" applyNumberFormat="1" applyFont="1" applyBorder="1"/>
    <xf numFmtId="1" fontId="4" fillId="0" borderId="2" xfId="1" applyNumberFormat="1" applyBorder="1"/>
    <xf numFmtId="164" fontId="4" fillId="0" borderId="2" xfId="1" applyNumberFormat="1" applyBorder="1"/>
    <xf numFmtId="0" fontId="4" fillId="0" borderId="0" xfId="1" applyAlignment="1">
      <alignment horizontal="right"/>
    </xf>
    <xf numFmtId="0" fontId="4" fillId="4" borderId="2" xfId="1" applyFill="1" applyBorder="1"/>
    <xf numFmtId="0" fontId="4" fillId="0" borderId="0" xfId="1" applyAlignment="1">
      <alignment wrapText="1"/>
    </xf>
    <xf numFmtId="1" fontId="4" fillId="0" borderId="2" xfId="1" applyNumberFormat="1" applyFill="1" applyBorder="1"/>
    <xf numFmtId="164" fontId="4" fillId="0" borderId="2" xfId="1" applyNumberFormat="1" applyFill="1" applyBorder="1"/>
    <xf numFmtId="0" fontId="4" fillId="0" borderId="0" xfId="1" applyFill="1" applyBorder="1"/>
    <xf numFmtId="1" fontId="4" fillId="0" borderId="0" xfId="1" applyNumberFormat="1" applyFill="1" applyBorder="1"/>
    <xf numFmtId="164" fontId="4" fillId="0" borderId="0" xfId="1" applyNumberFormat="1" applyFill="1" applyBorder="1"/>
    <xf numFmtId="1" fontId="5" fillId="0" borderId="0" xfId="1" applyNumberFormat="1" applyFont="1" applyFill="1" applyBorder="1"/>
    <xf numFmtId="0" fontId="4" fillId="5" borderId="0" xfId="1" applyFill="1"/>
    <xf numFmtId="0" fontId="4" fillId="0" borderId="2" xfId="1" applyBorder="1"/>
    <xf numFmtId="0" fontId="4" fillId="0" borderId="2" xfId="1" applyFill="1" applyBorder="1"/>
    <xf numFmtId="3" fontId="5" fillId="0" borderId="2" xfId="1" applyNumberFormat="1" applyFont="1" applyBorder="1"/>
    <xf numFmtId="4" fontId="5" fillId="0" borderId="2" xfId="1" applyNumberFormat="1" applyFont="1" applyBorder="1"/>
    <xf numFmtId="4" fontId="4" fillId="0" borderId="2" xfId="1" applyNumberFormat="1" applyBorder="1"/>
    <xf numFmtId="4" fontId="4" fillId="0" borderId="2" xfId="1" applyNumberFormat="1" applyFill="1" applyBorder="1"/>
    <xf numFmtId="4" fontId="5" fillId="0" borderId="2" xfId="1" applyNumberFormat="1" applyFont="1" applyFill="1" applyBorder="1"/>
    <xf numFmtId="0" fontId="0" fillId="6" borderId="0" xfId="0" applyFill="1"/>
    <xf numFmtId="0" fontId="8" fillId="0" borderId="0" xfId="3" applyFont="1"/>
    <xf numFmtId="4" fontId="8" fillId="0" borderId="0" xfId="3" applyNumberFormat="1" applyFont="1"/>
    <xf numFmtId="4" fontId="9" fillId="0" borderId="0" xfId="4" applyNumberFormat="1" applyFont="1" applyAlignment="1">
      <alignment horizontal="center" wrapText="1"/>
    </xf>
    <xf numFmtId="0" fontId="9" fillId="0" borderId="0" xfId="4" applyFont="1" applyFill="1" applyAlignment="1">
      <alignment horizontal="center" wrapText="1"/>
    </xf>
    <xf numFmtId="0" fontId="9" fillId="0" borderId="0" xfId="4" applyFont="1" applyAlignment="1">
      <alignment horizontal="center" wrapText="1"/>
    </xf>
    <xf numFmtId="0" fontId="9" fillId="0" borderId="0" xfId="4" applyFont="1" applyAlignment="1">
      <alignment horizontal="right"/>
    </xf>
    <xf numFmtId="0" fontId="8" fillId="0" borderId="3" xfId="3" applyFont="1" applyBorder="1" applyAlignment="1">
      <alignment horizontal="center"/>
    </xf>
    <xf numFmtId="0" fontId="8" fillId="0" borderId="0" xfId="3" applyFont="1" applyFill="1"/>
    <xf numFmtId="0" fontId="10" fillId="0" borderId="0" xfId="3" applyFont="1" applyFill="1"/>
    <xf numFmtId="49" fontId="8" fillId="7" borderId="2" xfId="3" applyNumberFormat="1" applyFont="1" applyFill="1" applyBorder="1"/>
    <xf numFmtId="0" fontId="8" fillId="7" borderId="2" xfId="3" applyFont="1" applyFill="1" applyBorder="1" applyAlignment="1">
      <alignment horizontal="justify"/>
    </xf>
    <xf numFmtId="0" fontId="8" fillId="7" borderId="2" xfId="3" applyFont="1" applyFill="1" applyBorder="1" applyAlignment="1">
      <alignment horizontal="center"/>
    </xf>
    <xf numFmtId="4" fontId="8" fillId="7" borderId="2" xfId="3" applyNumberFormat="1" applyFont="1" applyFill="1" applyBorder="1" applyAlignment="1">
      <alignment horizontal="center"/>
    </xf>
    <xf numFmtId="0" fontId="8" fillId="7" borderId="0" xfId="3" applyFont="1" applyFill="1"/>
    <xf numFmtId="49" fontId="11" fillId="0" borderId="2" xfId="3" applyNumberFormat="1" applyFont="1" applyBorder="1"/>
    <xf numFmtId="0" fontId="12" fillId="0" borderId="2" xfId="3" applyFont="1" applyFill="1" applyBorder="1" applyAlignment="1">
      <alignment horizontal="left" wrapText="1"/>
    </xf>
    <xf numFmtId="0" fontId="11" fillId="0" borderId="2" xfId="3" applyFont="1" applyBorder="1" applyAlignment="1">
      <alignment horizontal="center"/>
    </xf>
    <xf numFmtId="2" fontId="11" fillId="0" borderId="2" xfId="3" applyNumberFormat="1" applyFont="1" applyBorder="1" applyAlignment="1">
      <alignment horizontal="center"/>
    </xf>
    <xf numFmtId="0" fontId="11" fillId="0" borderId="0" xfId="3" applyFont="1" applyFill="1"/>
    <xf numFmtId="49" fontId="13" fillId="0" borderId="2" xfId="3" applyNumberFormat="1" applyFont="1" applyBorder="1"/>
    <xf numFmtId="0" fontId="13" fillId="0" borderId="2" xfId="3" applyFont="1" applyBorder="1" applyAlignment="1">
      <alignment horizontal="justify"/>
    </xf>
    <xf numFmtId="0" fontId="14" fillId="0" borderId="2" xfId="3" applyFont="1" applyFill="1" applyBorder="1" applyAlignment="1">
      <alignment horizontal="center" wrapText="1"/>
    </xf>
    <xf numFmtId="2" fontId="13" fillId="8" borderId="2" xfId="3" applyNumberFormat="1" applyFont="1" applyFill="1" applyBorder="1" applyAlignment="1">
      <alignment horizontal="center"/>
    </xf>
    <xf numFmtId="0" fontId="13" fillId="0" borderId="0" xfId="3" applyFont="1" applyFill="1"/>
    <xf numFmtId="0" fontId="15" fillId="0" borderId="0" xfId="3" applyFont="1" applyFill="1"/>
    <xf numFmtId="0" fontId="13" fillId="0" borderId="2" xfId="3" applyFont="1" applyBorder="1" applyAlignment="1">
      <alignment horizontal="center"/>
    </xf>
    <xf numFmtId="2" fontId="13" fillId="0" borderId="2" xfId="3" applyNumberFormat="1" applyFont="1" applyBorder="1" applyAlignment="1">
      <alignment horizontal="center"/>
    </xf>
    <xf numFmtId="164" fontId="13" fillId="7" borderId="2" xfId="3" applyNumberFormat="1" applyFont="1" applyFill="1" applyBorder="1" applyAlignment="1">
      <alignment horizontal="center"/>
    </xf>
    <xf numFmtId="165" fontId="13" fillId="0" borderId="2" xfId="3" applyNumberFormat="1" applyFont="1" applyBorder="1" applyAlignment="1">
      <alignment horizontal="center"/>
    </xf>
    <xf numFmtId="0" fontId="12" fillId="0" borderId="2" xfId="3" applyFont="1" applyFill="1" applyBorder="1" applyAlignment="1">
      <alignment horizontal="left" vertical="top" wrapText="1"/>
    </xf>
    <xf numFmtId="0" fontId="13" fillId="7" borderId="2" xfId="3" applyFont="1" applyFill="1" applyBorder="1" applyAlignment="1">
      <alignment horizontal="center"/>
    </xf>
    <xf numFmtId="0" fontId="16" fillId="0" borderId="2" xfId="3" applyFont="1" applyFill="1" applyBorder="1" applyAlignment="1">
      <alignment horizontal="left" wrapText="1"/>
    </xf>
    <xf numFmtId="0" fontId="16" fillId="0" borderId="2" xfId="3" applyFont="1" applyBorder="1" applyAlignment="1">
      <alignment horizontal="left" vertical="top" wrapText="1"/>
    </xf>
    <xf numFmtId="0" fontId="12" fillId="0" borderId="2" xfId="3" applyFont="1" applyFill="1" applyBorder="1" applyAlignment="1">
      <alignment horizontal="left" vertical="center" wrapText="1"/>
    </xf>
    <xf numFmtId="0" fontId="17" fillId="0" borderId="2" xfId="3" applyFont="1" applyBorder="1" applyAlignment="1">
      <alignment horizontal="left"/>
    </xf>
    <xf numFmtId="0" fontId="16" fillId="9" borderId="2" xfId="3" applyFont="1" applyFill="1" applyBorder="1" applyAlignment="1">
      <alignment horizontal="left" wrapText="1"/>
    </xf>
    <xf numFmtId="0" fontId="18" fillId="9" borderId="2" xfId="3" applyFont="1" applyFill="1" applyBorder="1" applyAlignment="1">
      <alignment horizontal="center" wrapText="1"/>
    </xf>
    <xf numFmtId="0" fontId="12" fillId="0" borderId="2" xfId="3" applyFont="1" applyBorder="1" applyAlignment="1">
      <alignment horizontal="left"/>
    </xf>
    <xf numFmtId="0" fontId="9" fillId="0" borderId="2" xfId="3" applyFont="1" applyFill="1" applyBorder="1" applyAlignment="1">
      <alignment horizontal="left"/>
    </xf>
    <xf numFmtId="0" fontId="19" fillId="0" borderId="2" xfId="3" applyFont="1" applyBorder="1" applyAlignment="1">
      <alignment horizontal="left"/>
    </xf>
    <xf numFmtId="0" fontId="20" fillId="0" borderId="2" xfId="3" applyFont="1" applyBorder="1" applyAlignment="1">
      <alignment horizontal="left"/>
    </xf>
    <xf numFmtId="0" fontId="16" fillId="0" borderId="2" xfId="3" applyFont="1" applyFill="1" applyBorder="1" applyAlignment="1">
      <alignment horizontal="left" vertical="top" wrapText="1"/>
    </xf>
    <xf numFmtId="0" fontId="12" fillId="0" borderId="2" xfId="3" applyFont="1" applyBorder="1" applyAlignment="1">
      <alignment horizontal="left" vertical="top" wrapText="1"/>
    </xf>
    <xf numFmtId="4" fontId="8" fillId="0" borderId="0" xfId="3" applyNumberFormat="1" applyFont="1" applyFill="1"/>
    <xf numFmtId="0" fontId="11" fillId="0" borderId="2" xfId="3" applyFont="1" applyBorder="1" applyAlignment="1">
      <alignment wrapText="1"/>
    </xf>
    <xf numFmtId="4" fontId="11" fillId="0" borderId="2" xfId="3" applyNumberFormat="1" applyFont="1" applyBorder="1" applyAlignment="1">
      <alignment horizontal="center"/>
    </xf>
    <xf numFmtId="49" fontId="8" fillId="0" borderId="2" xfId="3" applyNumberFormat="1" applyFont="1" applyFill="1" applyBorder="1"/>
    <xf numFmtId="2" fontId="13" fillId="0" borderId="2" xfId="3" applyNumberFormat="1" applyFont="1" applyFill="1" applyBorder="1" applyAlignment="1">
      <alignment horizontal="center"/>
    </xf>
    <xf numFmtId="165" fontId="13" fillId="8" borderId="2" xfId="3" applyNumberFormat="1" applyFont="1" applyFill="1" applyBorder="1" applyAlignment="1">
      <alignment horizontal="center"/>
    </xf>
    <xf numFmtId="165" fontId="13" fillId="10" borderId="2" xfId="3" applyNumberFormat="1" applyFont="1" applyFill="1" applyBorder="1" applyAlignment="1">
      <alignment horizontal="center"/>
    </xf>
    <xf numFmtId="0" fontId="13" fillId="0" borderId="2" xfId="3" applyFont="1" applyFill="1" applyBorder="1" applyAlignment="1">
      <alignment horizontal="center"/>
    </xf>
    <xf numFmtId="165" fontId="13" fillId="0" borderId="2" xfId="3" applyNumberFormat="1" applyFont="1" applyFill="1" applyBorder="1" applyAlignment="1">
      <alignment horizontal="center"/>
    </xf>
    <xf numFmtId="0" fontId="21" fillId="0" borderId="0" xfId="3" applyFont="1" applyBorder="1" applyAlignment="1">
      <alignment horizontal="justify"/>
    </xf>
    <xf numFmtId="0" fontId="13" fillId="0" borderId="4" xfId="3" applyFont="1" applyBorder="1" applyAlignment="1">
      <alignment horizontal="center"/>
    </xf>
    <xf numFmtId="0" fontId="13" fillId="0" borderId="5" xfId="3" applyFont="1" applyBorder="1" applyAlignment="1">
      <alignment horizontal="center"/>
    </xf>
    <xf numFmtId="0" fontId="13" fillId="0" borderId="0" xfId="3" applyFont="1" applyBorder="1" applyAlignment="1">
      <alignment horizontal="center"/>
    </xf>
    <xf numFmtId="49" fontId="8" fillId="0" borderId="2" xfId="3" applyNumberFormat="1" applyFont="1" applyBorder="1"/>
    <xf numFmtId="0" fontId="8" fillId="0" borderId="2" xfId="3" applyFont="1" applyBorder="1"/>
    <xf numFmtId="0" fontId="8" fillId="0" borderId="2" xfId="3" applyFont="1" applyFill="1" applyBorder="1" applyAlignment="1">
      <alignment horizontal="center"/>
    </xf>
    <xf numFmtId="4" fontId="8" fillId="0" borderId="2" xfId="3" applyNumberFormat="1" applyFont="1" applyBorder="1" applyAlignment="1">
      <alignment horizontal="center"/>
    </xf>
    <xf numFmtId="0" fontId="11" fillId="0" borderId="2" xfId="3" applyFont="1" applyBorder="1"/>
    <xf numFmtId="0" fontId="13" fillId="0" borderId="2" xfId="3" applyFont="1" applyBorder="1"/>
    <xf numFmtId="0" fontId="15" fillId="7" borderId="2" xfId="3" applyFont="1" applyFill="1" applyBorder="1"/>
    <xf numFmtId="2" fontId="15" fillId="7" borderId="2" xfId="3" applyNumberFormat="1" applyFont="1" applyFill="1" applyBorder="1" applyAlignment="1">
      <alignment horizontal="center"/>
    </xf>
    <xf numFmtId="0" fontId="13" fillId="7" borderId="0" xfId="3" applyFont="1" applyFill="1"/>
    <xf numFmtId="0" fontId="15" fillId="7" borderId="0" xfId="3" applyFont="1" applyFill="1"/>
    <xf numFmtId="4" fontId="15" fillId="7" borderId="2" xfId="3" applyNumberFormat="1" applyFont="1" applyFill="1" applyBorder="1" applyAlignment="1">
      <alignment horizontal="center"/>
    </xf>
    <xf numFmtId="4" fontId="13" fillId="0" borderId="0" xfId="3" applyNumberFormat="1" applyFont="1" applyFill="1"/>
    <xf numFmtId="0" fontId="13" fillId="0" borderId="2" xfId="3" applyFont="1" applyFill="1" applyBorder="1"/>
    <xf numFmtId="165" fontId="13" fillId="0" borderId="0" xfId="3" applyNumberFormat="1" applyFont="1" applyFill="1"/>
    <xf numFmtId="49" fontId="22" fillId="7" borderId="2" xfId="3" applyNumberFormat="1" applyFont="1" applyFill="1" applyBorder="1"/>
    <xf numFmtId="4" fontId="8" fillId="5" borderId="0" xfId="3" applyNumberFormat="1" applyFont="1" applyFill="1"/>
    <xf numFmtId="0" fontId="23" fillId="0" borderId="0" xfId="3" applyFont="1" applyFill="1"/>
    <xf numFmtId="0" fontId="23" fillId="0" borderId="0" xfId="3" applyFont="1" applyFill="1" applyBorder="1" applyAlignment="1">
      <alignment horizontal="center"/>
    </xf>
    <xf numFmtId="0" fontId="22" fillId="0" borderId="0" xfId="3" applyFont="1" applyFill="1"/>
    <xf numFmtId="49" fontId="24" fillId="0" borderId="0" xfId="3" applyNumberFormat="1" applyFont="1" applyFill="1" applyBorder="1"/>
    <xf numFmtId="49" fontId="8" fillId="0" borderId="0" xfId="3" applyNumberFormat="1" applyFont="1" applyBorder="1" applyAlignment="1">
      <alignment wrapText="1"/>
    </xf>
    <xf numFmtId="0" fontId="8" fillId="0" borderId="0" xfId="3" applyFont="1" applyBorder="1" applyAlignment="1">
      <alignment horizontal="center"/>
    </xf>
    <xf numFmtId="0" fontId="8" fillId="0" borderId="0" xfId="3" applyFont="1" applyBorder="1" applyAlignment="1">
      <alignment horizontal="right"/>
    </xf>
    <xf numFmtId="49" fontId="8" fillId="0" borderId="0" xfId="3" applyNumberFormat="1" applyFont="1" applyBorder="1"/>
    <xf numFmtId="0" fontId="13" fillId="0" borderId="0" xfId="3" applyFont="1"/>
    <xf numFmtId="0" fontId="13" fillId="0" borderId="0" xfId="3" applyFont="1" applyAlignment="1">
      <alignment horizontal="center"/>
    </xf>
    <xf numFmtId="49" fontId="13" fillId="0" borderId="0" xfId="3" applyNumberFormat="1" applyFont="1"/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49" fontId="8" fillId="0" borderId="0" xfId="3" applyNumberFormat="1" applyFont="1"/>
    <xf numFmtId="0" fontId="15" fillId="0" borderId="0" xfId="3" applyFont="1"/>
    <xf numFmtId="0" fontId="15" fillId="0" borderId="0" xfId="3" applyFont="1" applyAlignment="1">
      <alignment horizontal="center"/>
    </xf>
    <xf numFmtId="49" fontId="15" fillId="0" borderId="0" xfId="3" applyNumberFormat="1" applyFont="1"/>
    <xf numFmtId="0" fontId="25" fillId="0" borderId="0" xfId="3" applyFont="1" applyAlignment="1">
      <alignment horizontal="justify"/>
    </xf>
    <xf numFmtId="0" fontId="13" fillId="0" borderId="0" xfId="3" applyFont="1" applyAlignment="1">
      <alignment horizontal="right"/>
    </xf>
    <xf numFmtId="0" fontId="26" fillId="0" borderId="0" xfId="3" applyFont="1" applyAlignment="1">
      <alignment horizontal="right"/>
    </xf>
    <xf numFmtId="0" fontId="27" fillId="0" borderId="0" xfId="3" applyFont="1" applyAlignment="1">
      <alignment horizontal="right"/>
    </xf>
    <xf numFmtId="0" fontId="8" fillId="0" borderId="0" xfId="3" applyFont="1" applyBorder="1" applyAlignment="1">
      <alignment horizontal="center" vertical="center" wrapText="1"/>
    </xf>
    <xf numFmtId="0" fontId="8" fillId="0" borderId="0" xfId="3" applyFont="1" applyAlignment="1">
      <alignment horizontal="left" wrapText="1"/>
    </xf>
    <xf numFmtId="166" fontId="5" fillId="0" borderId="2" xfId="1" applyNumberFormat="1" applyFont="1" applyBorder="1"/>
    <xf numFmtId="0" fontId="3" fillId="0" borderId="1" xfId="0" applyFont="1" applyFill="1" applyBorder="1" applyAlignment="1">
      <alignment horizontal="right" vertical="center" wrapText="1" readingOrder="1"/>
    </xf>
    <xf numFmtId="3" fontId="3" fillId="0" borderId="1" xfId="0" applyNumberFormat="1" applyFont="1" applyFill="1" applyBorder="1" applyAlignment="1">
      <alignment horizontal="right" vertical="center" wrapText="1" readingOrder="1"/>
    </xf>
    <xf numFmtId="0" fontId="8" fillId="0" borderId="0" xfId="3" applyFont="1" applyAlignment="1">
      <alignment horizontal="center"/>
    </xf>
    <xf numFmtId="0" fontId="29" fillId="0" borderId="0" xfId="5" applyFont="1" applyAlignment="1">
      <alignment horizontal="right"/>
    </xf>
    <xf numFmtId="0" fontId="30" fillId="7" borderId="0" xfId="3" applyFont="1" applyFill="1"/>
    <xf numFmtId="4" fontId="8" fillId="7" borderId="0" xfId="3" applyNumberFormat="1" applyFont="1" applyFill="1"/>
    <xf numFmtId="4" fontId="31" fillId="0" borderId="2" xfId="3" applyNumberFormat="1" applyFont="1" applyBorder="1" applyAlignment="1">
      <alignment horizontal="center"/>
    </xf>
    <xf numFmtId="167" fontId="13" fillId="0" borderId="2" xfId="3" applyNumberFormat="1" applyFont="1" applyBorder="1" applyAlignment="1">
      <alignment horizontal="center"/>
    </xf>
    <xf numFmtId="4" fontId="30" fillId="0" borderId="0" xfId="3" applyNumberFormat="1" applyFont="1" applyFill="1"/>
    <xf numFmtId="2" fontId="8" fillId="0" borderId="0" xfId="3" applyNumberFormat="1" applyFont="1" applyFill="1"/>
    <xf numFmtId="0" fontId="32" fillId="0" borderId="0" xfId="3" applyFont="1" applyFill="1"/>
    <xf numFmtId="2" fontId="31" fillId="0" borderId="2" xfId="3" applyNumberFormat="1" applyFont="1" applyFill="1" applyBorder="1" applyAlignment="1">
      <alignment horizontal="center"/>
    </xf>
    <xf numFmtId="2" fontId="31" fillId="0" borderId="2" xfId="3" applyNumberFormat="1" applyFont="1" applyBorder="1" applyAlignment="1">
      <alignment horizontal="center"/>
    </xf>
    <xf numFmtId="4" fontId="33" fillId="0" borderId="2" xfId="3" applyNumberFormat="1" applyFont="1" applyBorder="1" applyAlignment="1">
      <alignment horizontal="center"/>
    </xf>
    <xf numFmtId="2" fontId="13" fillId="0" borderId="5" xfId="3" applyNumberFormat="1" applyFont="1" applyBorder="1" applyAlignment="1">
      <alignment horizontal="center"/>
    </xf>
    <xf numFmtId="2" fontId="13" fillId="0" borderId="0" xfId="3" applyNumberFormat="1" applyFont="1" applyBorder="1" applyAlignment="1">
      <alignment horizontal="center"/>
    </xf>
    <xf numFmtId="0" fontId="30" fillId="0" borderId="0" xfId="3" applyFont="1" applyFill="1"/>
    <xf numFmtId="4" fontId="11" fillId="0" borderId="0" xfId="3" applyNumberFormat="1" applyFont="1" applyFill="1"/>
    <xf numFmtId="4" fontId="34" fillId="0" borderId="0" xfId="3" applyNumberFormat="1" applyFont="1" applyFill="1"/>
    <xf numFmtId="0" fontId="7" fillId="7" borderId="2" xfId="3" applyFont="1" applyFill="1" applyBorder="1"/>
    <xf numFmtId="49" fontId="15" fillId="7" borderId="2" xfId="3" applyNumberFormat="1" applyFont="1" applyFill="1" applyBorder="1"/>
    <xf numFmtId="0" fontId="15" fillId="7" borderId="2" xfId="3" applyFont="1" applyFill="1" applyBorder="1" applyAlignment="1">
      <alignment horizontal="center"/>
    </xf>
    <xf numFmtId="4" fontId="15" fillId="7" borderId="0" xfId="3" applyNumberFormat="1" applyFont="1" applyFill="1"/>
    <xf numFmtId="0" fontId="35" fillId="0" borderId="0" xfId="3" applyFont="1" applyFill="1" applyAlignment="1">
      <alignment horizontal="center"/>
    </xf>
    <xf numFmtId="2" fontId="31" fillId="0" borderId="0" xfId="3" applyNumberFormat="1" applyFont="1" applyAlignment="1">
      <alignment horizontal="center"/>
    </xf>
    <xf numFmtId="1" fontId="31" fillId="0" borderId="0" xfId="3" applyNumberFormat="1" applyFont="1" applyAlignment="1">
      <alignment horizontal="center"/>
    </xf>
    <xf numFmtId="2" fontId="31" fillId="0" borderId="0" xfId="3" applyNumberFormat="1" applyFont="1" applyAlignment="1">
      <alignment horizontal="right"/>
    </xf>
    <xf numFmtId="2" fontId="36" fillId="0" borderId="0" xfId="3" applyNumberFormat="1" applyFont="1" applyAlignment="1">
      <alignment horizontal="right"/>
    </xf>
    <xf numFmtId="0" fontId="8" fillId="0" borderId="0" xfId="3" applyFont="1" applyFill="1" applyBorder="1" applyAlignment="1">
      <alignment horizontal="center"/>
    </xf>
    <xf numFmtId="0" fontId="13" fillId="0" borderId="0" xfId="3" applyFont="1" applyFill="1" applyBorder="1"/>
    <xf numFmtId="0" fontId="8" fillId="0" borderId="0" xfId="3" applyFont="1" applyFill="1" applyBorder="1" applyAlignment="1">
      <alignment horizontal="center" vertical="center" wrapText="1"/>
    </xf>
    <xf numFmtId="0" fontId="13" fillId="0" borderId="0" xfId="3" applyFont="1" applyFill="1" applyBorder="1" applyAlignment="1">
      <alignment horizontal="justify"/>
    </xf>
    <xf numFmtId="0" fontId="13" fillId="0" borderId="0" xfId="3" applyFont="1" applyFill="1" applyBorder="1" applyAlignment="1">
      <alignment horizontal="center"/>
    </xf>
    <xf numFmtId="4" fontId="13" fillId="0" borderId="0" xfId="3" applyNumberFormat="1" applyFont="1" applyFill="1" applyBorder="1" applyAlignment="1">
      <alignment horizontal="center"/>
    </xf>
    <xf numFmtId="4" fontId="31" fillId="0" borderId="0" xfId="3" applyNumberFormat="1" applyFont="1" applyFill="1" applyBorder="1" applyAlignment="1">
      <alignment horizontal="center"/>
    </xf>
    <xf numFmtId="0" fontId="8" fillId="0" borderId="0" xfId="3" applyFont="1" applyFill="1" applyBorder="1" applyAlignment="1">
      <alignment horizontal="justify"/>
    </xf>
    <xf numFmtId="4" fontId="8" fillId="0" borderId="0" xfId="3" applyNumberFormat="1" applyFont="1" applyFill="1" applyBorder="1" applyAlignment="1">
      <alignment horizontal="center"/>
    </xf>
    <xf numFmtId="0" fontId="8" fillId="0" borderId="0" xfId="3" applyFont="1" applyFill="1" applyBorder="1" applyAlignment="1">
      <alignment horizontal="left" wrapText="1"/>
    </xf>
    <xf numFmtId="0" fontId="8" fillId="0" borderId="0" xfId="3" applyFont="1" applyFill="1" applyBorder="1"/>
    <xf numFmtId="0" fontId="8" fillId="0" borderId="0" xfId="3" applyFont="1" applyFill="1" applyBorder="1" applyAlignment="1">
      <alignment horizontal="right"/>
    </xf>
    <xf numFmtId="14" fontId="3" fillId="0" borderId="1" xfId="0" applyNumberFormat="1" applyFont="1" applyBorder="1" applyAlignment="1">
      <alignment horizontal="center" vertical="center" wrapText="1" readingOrder="1"/>
    </xf>
    <xf numFmtId="4" fontId="3" fillId="0" borderId="1" xfId="0" applyNumberFormat="1" applyFont="1" applyFill="1" applyBorder="1" applyAlignment="1">
      <alignment horizontal="righ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166" fontId="2" fillId="3" borderId="1" xfId="0" applyNumberFormat="1" applyFont="1" applyFill="1" applyBorder="1" applyAlignment="1">
      <alignment horizontal="right" vertical="center" wrapText="1" readingOrder="1"/>
    </xf>
    <xf numFmtId="0" fontId="38" fillId="0" borderId="1" xfId="0" applyFont="1" applyBorder="1" applyAlignment="1">
      <alignment horizontal="right" vertical="center" wrapText="1" readingOrder="1"/>
    </xf>
    <xf numFmtId="0" fontId="3" fillId="0" borderId="1" xfId="0" applyNumberFormat="1" applyFont="1" applyBorder="1" applyAlignment="1">
      <alignment horizontal="center" vertical="center" wrapText="1" readingOrder="1"/>
    </xf>
    <xf numFmtId="4" fontId="3" fillId="0" borderId="1" xfId="0" applyNumberFormat="1" applyFont="1" applyBorder="1" applyAlignment="1">
      <alignment horizontal="right" vertical="center" wrapText="1" readingOrder="1"/>
    </xf>
    <xf numFmtId="0" fontId="40" fillId="2" borderId="1" xfId="0" applyFont="1" applyFill="1" applyBorder="1" applyAlignment="1">
      <alignment horizontal="center" vertical="center" wrapText="1" readingOrder="1"/>
    </xf>
    <xf numFmtId="0" fontId="41" fillId="2" borderId="1" xfId="0" applyFont="1" applyFill="1" applyBorder="1" applyAlignment="1">
      <alignment horizontal="center" vertical="center" wrapText="1" readingOrder="1"/>
    </xf>
    <xf numFmtId="0" fontId="42" fillId="2" borderId="1" xfId="0" applyFont="1" applyFill="1" applyBorder="1" applyAlignment="1">
      <alignment horizontal="center" vertical="center" wrapText="1" readingOrder="1"/>
    </xf>
    <xf numFmtId="0" fontId="43" fillId="3" borderId="1" xfId="0" applyFont="1" applyFill="1" applyBorder="1" applyAlignment="1">
      <alignment horizontal="center" vertical="center" wrapText="1" readingOrder="1"/>
    </xf>
    <xf numFmtId="0" fontId="43" fillId="11" borderId="1" xfId="0" applyFont="1" applyFill="1" applyBorder="1" applyAlignment="1">
      <alignment horizontal="left" vertical="center" wrapText="1" readingOrder="1"/>
    </xf>
    <xf numFmtId="0" fontId="39" fillId="11" borderId="1" xfId="0" applyFont="1" applyFill="1" applyBorder="1" applyAlignment="1">
      <alignment horizontal="center" vertical="center" wrapText="1"/>
    </xf>
    <xf numFmtId="16" fontId="44" fillId="0" borderId="1" xfId="0" applyNumberFormat="1" applyFont="1" applyBorder="1" applyAlignment="1">
      <alignment horizontal="center" vertical="center" wrapText="1" readingOrder="1"/>
    </xf>
    <xf numFmtId="0" fontId="45" fillId="0" borderId="1" xfId="0" applyFont="1" applyBorder="1" applyAlignment="1">
      <alignment horizontal="left" vertical="center" wrapText="1" readingOrder="1"/>
    </xf>
    <xf numFmtId="0" fontId="45" fillId="0" borderId="1" xfId="0" applyFont="1" applyBorder="1" applyAlignment="1">
      <alignment horizontal="center" vertical="center" wrapText="1" readingOrder="1"/>
    </xf>
    <xf numFmtId="0" fontId="45" fillId="12" borderId="1" xfId="0" applyFont="1" applyFill="1" applyBorder="1" applyAlignment="1">
      <alignment horizontal="center" vertical="center" wrapText="1" readingOrder="1"/>
    </xf>
    <xf numFmtId="0" fontId="39" fillId="12" borderId="1" xfId="0" applyFont="1" applyFill="1" applyBorder="1" applyAlignment="1">
      <alignment vertical="center" wrapText="1"/>
    </xf>
    <xf numFmtId="0" fontId="39" fillId="12" borderId="1" xfId="0" applyFont="1" applyFill="1" applyBorder="1" applyAlignment="1">
      <alignment horizontal="center" vertical="center" wrapText="1"/>
    </xf>
    <xf numFmtId="16" fontId="44" fillId="13" borderId="1" xfId="0" applyNumberFormat="1" applyFont="1" applyFill="1" applyBorder="1" applyAlignment="1">
      <alignment horizontal="center" vertical="center" wrapText="1" readingOrder="1"/>
    </xf>
    <xf numFmtId="0" fontId="45" fillId="13" borderId="1" xfId="0" applyFont="1" applyFill="1" applyBorder="1" applyAlignment="1">
      <alignment horizontal="left" vertical="center" wrapText="1" readingOrder="1"/>
    </xf>
    <xf numFmtId="0" fontId="46" fillId="13" borderId="1" xfId="0" applyFont="1" applyFill="1" applyBorder="1" applyAlignment="1">
      <alignment horizontal="center" vertical="center" wrapText="1" readingOrder="1"/>
    </xf>
    <xf numFmtId="0" fontId="45" fillId="13" borderId="1" xfId="0" applyFont="1" applyFill="1" applyBorder="1" applyAlignment="1">
      <alignment horizontal="center" vertical="center" wrapText="1" readingOrder="1"/>
    </xf>
    <xf numFmtId="0" fontId="46" fillId="0" borderId="1" xfId="0" applyFont="1" applyBorder="1" applyAlignment="1">
      <alignment horizontal="center" vertical="center" wrapText="1" readingOrder="1"/>
    </xf>
    <xf numFmtId="17" fontId="45" fillId="0" borderId="1" xfId="0" applyNumberFormat="1" applyFont="1" applyBorder="1" applyAlignment="1">
      <alignment horizontal="center" vertical="center" wrapText="1" readingOrder="1"/>
    </xf>
    <xf numFmtId="16" fontId="47" fillId="14" borderId="1" xfId="0" applyNumberFormat="1" applyFont="1" applyFill="1" applyBorder="1" applyAlignment="1">
      <alignment horizontal="center" vertical="center" wrapText="1" readingOrder="1"/>
    </xf>
    <xf numFmtId="0" fontId="43" fillId="14" borderId="1" xfId="0" applyFont="1" applyFill="1" applyBorder="1" applyAlignment="1">
      <alignment horizontal="left" vertical="center" wrapText="1" readingOrder="1"/>
    </xf>
    <xf numFmtId="0" fontId="45" fillId="14" borderId="1" xfId="0" applyFont="1" applyFill="1" applyBorder="1" applyAlignment="1">
      <alignment horizontal="center" vertical="center" wrapText="1" readingOrder="1"/>
    </xf>
    <xf numFmtId="0" fontId="43" fillId="14" borderId="1" xfId="0" applyFont="1" applyFill="1" applyBorder="1" applyAlignment="1">
      <alignment horizontal="center" vertical="center" wrapText="1" readingOrder="1"/>
    </xf>
    <xf numFmtId="0" fontId="43" fillId="11" borderId="1" xfId="0" applyFont="1" applyFill="1" applyBorder="1" applyAlignment="1">
      <alignment horizontal="center" vertical="center" wrapText="1" readingOrder="1"/>
    </xf>
    <xf numFmtId="16" fontId="45" fillId="0" borderId="1" xfId="0" applyNumberFormat="1" applyFont="1" applyBorder="1" applyAlignment="1">
      <alignment horizontal="center" vertical="center" wrapText="1" readingOrder="1"/>
    </xf>
    <xf numFmtId="0" fontId="43" fillId="3" borderId="1" xfId="0" applyFont="1" applyFill="1" applyBorder="1" applyAlignment="1">
      <alignment horizontal="left" vertical="center" wrapText="1" readingOrder="1"/>
    </xf>
    <xf numFmtId="0" fontId="45" fillId="3" borderId="1" xfId="0" applyFont="1" applyFill="1" applyBorder="1" applyAlignment="1">
      <alignment horizontal="center" vertical="center" wrapText="1" readingOrder="1"/>
    </xf>
    <xf numFmtId="0" fontId="39" fillId="3" borderId="1" xfId="0" applyFont="1" applyFill="1" applyBorder="1" applyAlignment="1">
      <alignment horizontal="center" vertical="center" wrapText="1"/>
    </xf>
    <xf numFmtId="0" fontId="8" fillId="0" borderId="0" xfId="3" applyFont="1" applyAlignment="1">
      <alignment horizontal="center"/>
    </xf>
    <xf numFmtId="0" fontId="28" fillId="0" borderId="0" xfId="3" applyFont="1" applyAlignment="1" applyProtection="1">
      <alignment horizontal="center" vertical="center" wrapText="1"/>
      <protection locked="0"/>
    </xf>
    <xf numFmtId="0" fontId="28" fillId="0" borderId="0" xfId="3" applyFont="1" applyAlignment="1" applyProtection="1">
      <alignment horizontal="center" vertical="center"/>
      <protection locked="0"/>
    </xf>
    <xf numFmtId="0" fontId="7" fillId="0" borderId="0" xfId="3" applyAlignment="1" applyProtection="1">
      <alignment vertical="center"/>
      <protection locked="0"/>
    </xf>
    <xf numFmtId="49" fontId="8" fillId="0" borderId="2" xfId="3" applyNumberFormat="1" applyFont="1" applyBorder="1" applyAlignment="1">
      <alignment horizontal="justify"/>
    </xf>
    <xf numFmtId="0" fontId="8" fillId="0" borderId="2" xfId="3" applyFont="1" applyBorder="1" applyAlignment="1">
      <alignment horizontal="center" vertical="center"/>
    </xf>
    <xf numFmtId="0" fontId="8" fillId="0" borderId="0" xfId="4" applyFont="1" applyAlignment="1">
      <alignment horizontal="center" vertical="center" wrapText="1"/>
    </xf>
  </cellXfs>
  <cellStyles count="9">
    <cellStyle name="Обычный" xfId="0" builtinId="0"/>
    <cellStyle name="Обычный 2" xfId="6"/>
    <cellStyle name="Обычный 4" xfId="3"/>
    <cellStyle name="Обычный_103042" xfId="4"/>
    <cellStyle name="Обычный_103042 2" xfId="5"/>
    <cellStyle name="Обычный_Лист в C: Documents and Settings KAKudryavcev Мои документы Конференция М.С Конференция МС - отправленное в РЦСУ 6 февраля Доклад_ООО_УЭН_Кудрявцев К.А." xfId="1"/>
    <cellStyle name="Процентный 2" xfId="7"/>
    <cellStyle name="Процентный 3" xfId="8"/>
    <cellStyle name="Стиль 1" xfId="2"/>
  </cellStyles>
  <dxfs count="4">
    <dxf>
      <font>
        <b/>
        <i/>
        <condense val="0"/>
        <extend val="0"/>
      </font>
      <fill>
        <patternFill>
          <bgColor indexed="13"/>
        </patternFill>
      </fill>
    </dxf>
    <dxf>
      <font>
        <b/>
        <i/>
        <condense val="0"/>
        <extend val="0"/>
      </font>
      <fill>
        <patternFill>
          <bgColor indexed="13"/>
        </patternFill>
      </fill>
    </dxf>
    <dxf>
      <font>
        <b/>
        <i/>
        <condense val="0"/>
        <extend val="0"/>
      </font>
      <fill>
        <patternFill>
          <bgColor indexed="13"/>
        </patternFill>
      </fill>
    </dxf>
    <dxf>
      <font>
        <b/>
        <i/>
        <condense val="0"/>
        <extend val="0"/>
      </font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Чистая приведенная стоимость</a:t>
            </a:r>
          </a:p>
        </c:rich>
      </c:tx>
      <c:layout>
        <c:manualLayout>
          <c:xMode val="edge"/>
          <c:yMode val="edge"/>
          <c:x val="0.34022750775594623"/>
          <c:y val="2.0338983050847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4115822130299899E-2"/>
          <c:y val="0.13559322033898305"/>
          <c:w val="0.9172699069286453"/>
          <c:h val="0.77288135593220342"/>
        </c:manualLayout>
      </c:layout>
      <c:areaChart>
        <c:grouping val="standard"/>
        <c:varyColors val="0"/>
        <c:ser>
          <c:idx val="1"/>
          <c:order val="0"/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Расчет_окупаемости!$A$3:$A$12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Расчет_окупаемости!$H$3:$H$12</c:f>
              <c:numCache>
                <c:formatCode>#,##0.00</c:formatCode>
                <c:ptCount val="10"/>
                <c:pt idx="0">
                  <c:v>3740.53</c:v>
                </c:pt>
                <c:pt idx="1">
                  <c:v>7481.06</c:v>
                </c:pt>
                <c:pt idx="2">
                  <c:v>11221.59</c:v>
                </c:pt>
                <c:pt idx="3">
                  <c:v>14962.12</c:v>
                </c:pt>
                <c:pt idx="4">
                  <c:v>18702.650000000001</c:v>
                </c:pt>
                <c:pt idx="5">
                  <c:v>22443.18</c:v>
                </c:pt>
                <c:pt idx="6">
                  <c:v>26183.71</c:v>
                </c:pt>
                <c:pt idx="7">
                  <c:v>29924.239999999998</c:v>
                </c:pt>
                <c:pt idx="8">
                  <c:v>33664.769999999997</c:v>
                </c:pt>
                <c:pt idx="9">
                  <c:v>37405.299999999996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C-4E58-918A-75D688FF561C}"/>
            </c:ext>
          </c:extLst>
        </c:ser>
        <c:ser>
          <c:idx val="0"/>
          <c:order val="1"/>
          <c:tx>
            <c:v>ррукрук</c:v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Расчет_окупаемости!$A$3:$A$12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D7DB-47E9-9E75-8A9C2AC33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54176"/>
        <c:axId val="81952768"/>
      </c:areaChart>
      <c:catAx>
        <c:axId val="69554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952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1952768"/>
        <c:scaling>
          <c:orientation val="minMax"/>
          <c:max val="4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554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15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10261" cy="5615609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0.02675</cdr:y>
    </cdr:from>
    <cdr:to>
      <cdr:x>0.15675</cdr:x>
      <cdr:y>0.09275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150328"/>
          <a:ext cx="1443773" cy="370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0" bIns="27432" anchor="ctr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ru-RU" sz="1425" b="1" i="0" strike="noStrike">
              <a:solidFill>
                <a:srgbClr val="000000"/>
              </a:solidFill>
              <a:latin typeface="Arial Cyr"/>
            </a:rPr>
            <a:t>Тыс. руб.</a:t>
          </a:r>
        </a:p>
      </cdr:txBody>
    </cdr:sp>
  </cdr:relSizeAnchor>
  <cdr:relSizeAnchor xmlns:cdr="http://schemas.openxmlformats.org/drawingml/2006/chartDrawing">
    <cdr:from>
      <cdr:x>0.91575</cdr:x>
      <cdr:y>0.05575</cdr:y>
    </cdr:from>
    <cdr:to>
      <cdr:x>0.99125</cdr:x>
      <cdr:y>0.1195</cdr:y>
    </cdr:to>
    <cdr:sp macro="" textlink="">
      <cdr:nvSpPr>
        <cdr:cNvPr id="102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446189" y="311896"/>
          <a:ext cx="686195" cy="3596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0" tIns="27432" rIns="36576" bIns="27432" anchor="ctr" upright="1"/>
        <a:lstStyle xmlns:a="http://schemas.openxmlformats.org/drawingml/2006/main"/>
        <a:p xmlns:a="http://schemas.openxmlformats.org/drawingml/2006/main">
          <a:pPr algn="r" rtl="1">
            <a:defRPr sz="1000"/>
          </a:pPr>
          <a:r>
            <a:rPr lang="ru-RU" sz="1425" b="1" i="0" strike="noStrike">
              <a:solidFill>
                <a:srgbClr val="000000"/>
              </a:solidFill>
              <a:latin typeface="Arial Cyr"/>
            </a:rPr>
            <a:t>год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1055;&#1083;&#1072;&#1085;&#1086;&#1074;&#1080;&#1082;&#1080;\&#1041;&#1055;_2022\&#1050;&#1072;&#1083;&#1100;&#1082;&#1091;&#1083;&#1103;&#1094;&#1080;&#1080;_&#1074;&#1077;&#1088;&#1089;&#1080;&#1103;_&#1085;&#1086;&#1103;&#1073;&#1088;&#1100;\&#1058;&#1054;_&#1058;&#1056;_&#1075;&#1072;&#1079;&#1086;&#1087;&#1088;&#1086;&#1074;&#1086;&#1076;&#1086;&#1074;_&#1075;&#1083;&#1072;&#1074;&#1085;&#1072;&#1103;\&#1082;&#1072;&#1083;&#1100;&#1082;&#1091;&#1083;&#1103;&#1094;&#1080;&#1080;\&#1075;&#1088;&#1077;&#1084;&#1080;&#1093;&#1072;2022&#1073;&#1077;&#1079;&#1044;&#1086;&#1083;&#1075;&#1086;&#1083;&#1077;&#1090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1055;&#1083;&#1072;&#1085;&#1086;&#1074;&#1080;&#1082;&#1080;\&#1041;&#1055;_2022\&#1050;&#1072;&#1083;&#1100;&#1082;&#1091;&#1083;&#1103;&#1094;&#1080;&#1080;_&#1074;&#1077;&#1088;&#1089;&#1080;&#1103;_&#1085;&#1086;&#1103;&#1073;&#1088;&#1100;\&#1058;&#1054;_&#1058;&#1056;_&#1075;&#1072;&#1079;&#1086;&#1087;&#1088;&#1086;&#1074;&#1086;&#1076;&#1086;&#1074;_&#1080;&#1089;&#1093;\&#1043;&#1088;&#1077;&#1084;&#1080;&#1093;&#1072;%20&#1058;&#1056;%20&#1043;&#1056;&#105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1055;&#1083;&#1072;&#1085;&#1086;&#1074;&#1080;&#1082;&#1080;\&#1041;&#1055;_2022\&#1050;&#1072;&#1083;&#1100;&#1082;&#1091;&#1083;&#1103;&#1094;&#1080;&#1080;_&#1074;&#1077;&#1088;&#1089;&#1080;&#1103;_&#1085;&#1086;&#1103;&#1073;&#1088;&#1100;\&#1058;&#1054;_&#1058;&#1056;_&#1075;&#1072;&#1079;&#1086;&#1087;&#1088;&#1086;&#1074;&#1086;&#1076;&#1086;&#1074;\&#1055;&#1072;&#1088;&#1072;&#1084;&#1077;&#1090;&#1088;&#1099;_&#1082;&#1072;&#1083;&#1100;&#1082;&#1091;&#1083;&#1103;&#1094;&#1080;&#108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1055;&#1083;&#1072;&#1085;&#1086;&#1074;&#1080;&#1082;&#1080;\&#1041;&#1055;_2022\&#1050;&#1072;&#1083;&#1100;&#1082;&#1091;&#1083;&#1103;&#1094;&#1080;&#1080;_&#1074;&#1077;&#1088;&#1089;&#1080;&#1103;_&#1085;&#1086;&#1103;&#1073;&#1088;&#1100;\&#1058;&#1054;_&#1058;&#1056;_&#1075;&#1072;&#1079;&#1086;&#1087;&#1088;&#1086;&#1074;&#1086;&#1076;&#1086;&#1074;\&#1055;&#1040;&#1056;&#1040;&#1052;&#1045;&#1058;&#1056;&#1067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1055;&#1083;&#1072;&#1085;&#1086;&#1074;&#1080;&#1082;&#1080;\&#1041;&#1055;_2020\&#1050;&#1072;&#1083;&#1100;&#1082;&#1091;&#1083;&#1103;&#1094;&#1080;&#1080;&#1041;&#1055;_&#1085;&#1086;&#1103;&#1073;&#1088;&#1100;\&#1059;&#1055;&#1043;2020\&#1040;&#1085;&#1072;&#1083;&#1080;&#1079;%20&#1087;&#1086;%20&#1059;&#1055;&#1043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1055;&#1083;&#1072;&#1085;&#1086;&#1074;&#1080;&#1082;&#1080;\&#1041;&#1055;_2020\&#1050;&#1072;&#1083;&#1100;&#1082;&#1091;&#1083;&#1103;&#1094;&#1080;&#1080;&#1041;&#1055;_&#1085;&#1086;&#1103;&#1073;&#1088;&#1100;\&#1059;&#1055;&#1043;2020\&#1055;&#1072;&#1088;&#1072;&#1084;&#1077;&#1090;&#1088;&#1099;_&#1082;&#1072;&#1083;&#1100;&#1082;&#1091;&#1083;&#1103;&#1094;&#1080;&#108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араметры"/>
      <sheetName val="кТо309"/>
      <sheetName val="рТо309"/>
      <sheetName val="кТр309"/>
      <sheetName val="рТр309"/>
      <sheetName val="кТо071"/>
      <sheetName val="рТо071"/>
      <sheetName val="кТр071"/>
      <sheetName val="рТр071"/>
      <sheetName val="кТо010"/>
      <sheetName val="рТо010"/>
      <sheetName val="кТр010"/>
      <sheetName val="рТр010"/>
      <sheetName val="кТо257"/>
      <sheetName val="рТо257"/>
      <sheetName val="кТр257"/>
      <sheetName val="рТр257"/>
      <sheetName val="кТо890"/>
      <sheetName val="рТо890"/>
      <sheetName val="кТр890"/>
      <sheetName val="рТр890"/>
      <sheetName val="кТо669"/>
      <sheetName val="рТо669"/>
      <sheetName val="кТр669"/>
      <sheetName val="рТр669"/>
      <sheetName val="чел-час"/>
    </sheetNames>
    <sheetDataSet>
      <sheetData sheetId="0">
        <row r="3">
          <cell r="D3" t="str">
            <v>ввести с 1.01.2022г.</v>
          </cell>
        </row>
        <row r="8">
          <cell r="B8" t="str">
            <v>Эмаль ПФ-115, желтая, в/с</v>
          </cell>
        </row>
        <row r="11">
          <cell r="B11" t="str">
            <v>Кисть малярная плоская КП60</v>
          </cell>
        </row>
        <row r="14">
          <cell r="B14" t="str">
            <v>Смазка графитная Ж</v>
          </cell>
        </row>
        <row r="17">
          <cell r="B17" t="str">
            <v>Растворитель Р-646</v>
          </cell>
        </row>
        <row r="20">
          <cell r="B20" t="str">
            <v>Паронит общего назначения (ПОН) толщина 1,0мм</v>
          </cell>
        </row>
        <row r="23">
          <cell r="B23" t="str">
            <v>Паронит общего назначения ПОН 2,0</v>
          </cell>
        </row>
        <row r="26">
          <cell r="B26" t="str">
            <v xml:space="preserve">Ветошь (кг) </v>
          </cell>
        </row>
        <row r="27">
          <cell r="C27" t="str">
            <v>кг</v>
          </cell>
        </row>
        <row r="29">
          <cell r="B29" t="str">
            <v>Набивка сальниковая АФТ 6х6 Набивки сальниковые асб. и неасбестовые)</v>
          </cell>
        </row>
        <row r="30">
          <cell r="C30" t="str">
            <v>кг</v>
          </cell>
        </row>
        <row r="32">
          <cell r="B32" t="str">
            <v>Ведро оцинкованное 10л</v>
          </cell>
        </row>
        <row r="35">
          <cell r="B35" t="str">
            <v xml:space="preserve">Эмаль ПФ-115, красная 1/С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альк"/>
      <sheetName val="расч"/>
      <sheetName val="кальк (2)"/>
      <sheetName val="расч (2)"/>
    </sheetNames>
    <sheetDataSet>
      <sheetData sheetId="0">
        <row r="25">
          <cell r="C25">
            <v>23747.65</v>
          </cell>
        </row>
      </sheetData>
      <sheetData sheetId="1">
        <row r="7">
          <cell r="D7">
            <v>809.06999999999994</v>
          </cell>
        </row>
        <row r="398">
          <cell r="D398">
            <v>11466.8</v>
          </cell>
        </row>
      </sheetData>
      <sheetData sheetId="2">
        <row r="25">
          <cell r="C25">
            <v>23747.65</v>
          </cell>
        </row>
      </sheetData>
      <sheetData sheetId="3">
        <row r="7">
          <cell r="D7">
            <v>809.06999999999994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"/>
      <sheetName val="мат"/>
      <sheetName val="материалы"/>
      <sheetName val="РАСЦЕНКИ_СТТ"/>
      <sheetName val="РАСЦЕНКИ_ТТ"/>
      <sheetName val="РАСЦЕНКИ_ТТ_"/>
      <sheetName val="РАСЦЕНКИ_СТТ_"/>
    </sheetNames>
    <sheetDataSet>
      <sheetData sheetId="0" refreshError="1">
        <row r="2">
          <cell r="B2">
            <v>55.2</v>
          </cell>
        </row>
        <row r="27">
          <cell r="A27" t="str">
            <v>Chevrolet Lacetti (или аналог)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АРАМЕТРЫ"/>
    </sheetNames>
    <sheetDataSet>
      <sheetData sheetId="0">
        <row r="3">
          <cell r="D3" t="str">
            <v>ввести с 1.01.2022г.</v>
          </cell>
        </row>
        <row r="466">
          <cell r="D466">
            <v>3.7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УЕ"/>
      <sheetName val="УПГ"/>
      <sheetName val="единая_кальк"/>
      <sheetName val="прайс_УПГ_2010"/>
      <sheetName val="УПГ_в_ценах_2009_года"/>
      <sheetName val="Расшифровка_прочих"/>
      <sheetName val="объем"/>
      <sheetName val="УПГ_форма_приложения"/>
    </sheetNames>
    <sheetDataSet>
      <sheetData sheetId="0" refreshError="1"/>
      <sheetData sheetId="1" refreshError="1"/>
      <sheetData sheetId="2" refreshError="1"/>
      <sheetData sheetId="3">
        <row r="12">
          <cell r="H12">
            <v>1.4600000000000364</v>
          </cell>
        </row>
      </sheetData>
      <sheetData sheetId="4" refreshError="1"/>
      <sheetData sheetId="5" refreshError="1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"/>
      <sheetName val="материалы"/>
      <sheetName val="РАСЦЕНКИ_СТТ"/>
      <sheetName val="РАСЦЕНКИ_ТТ"/>
      <sheetName val="РАСЦЕНКИ_ТТ_"/>
      <sheetName val="РАСЦЕНКИ_СТТ_"/>
    </sheetNames>
    <sheetDataSet>
      <sheetData sheetId="0">
        <row r="2">
          <cell r="B2">
            <v>63.161079351701581</v>
          </cell>
        </row>
        <row r="3">
          <cell r="B3">
            <v>61.3</v>
          </cell>
        </row>
        <row r="5">
          <cell r="B5">
            <v>31</v>
          </cell>
        </row>
        <row r="7">
          <cell r="B7">
            <v>15</v>
          </cell>
        </row>
        <row r="14">
          <cell r="E14">
            <v>64.239999999999995</v>
          </cell>
          <cell r="H14">
            <v>42</v>
          </cell>
        </row>
        <row r="15">
          <cell r="E15">
            <v>70.652499999999989</v>
          </cell>
          <cell r="F15">
            <v>77.185000000000002</v>
          </cell>
        </row>
        <row r="16">
          <cell r="E16">
            <v>56</v>
          </cell>
          <cell r="F16">
            <v>56</v>
          </cell>
        </row>
        <row r="52">
          <cell r="A52" t="str">
            <v>УАЗ ФЕРМЕР</v>
          </cell>
        </row>
      </sheetData>
      <sheetData sheetId="1">
        <row r="112">
          <cell r="E112">
            <v>0</v>
          </cell>
        </row>
        <row r="117">
          <cell r="E117">
            <v>1000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</sheetPr>
  <dimension ref="A1:Q482"/>
  <sheetViews>
    <sheetView zoomScale="75" zoomScaleNormal="100" zoomScaleSheetLayoutView="75" workbookViewId="0">
      <pane ySplit="7" topLeftCell="A34" activePane="bottomLeft" state="frozen"/>
      <selection activeCell="T9" sqref="T9"/>
      <selection pane="bottomLeft" activeCell="B370" sqref="B370"/>
    </sheetView>
  </sheetViews>
  <sheetFormatPr defaultColWidth="9.140625" defaultRowHeight="15" x14ac:dyDescent="0.2"/>
  <cols>
    <col min="1" max="1" width="7.28515625" style="121" customWidth="1"/>
    <col min="2" max="2" width="53.28515625" style="119" customWidth="1"/>
    <col min="3" max="3" width="14.85546875" style="120" customWidth="1"/>
    <col min="4" max="4" width="18" style="120" customWidth="1"/>
    <col min="5" max="5" width="16.140625" style="119" hidden="1" customWidth="1"/>
    <col min="6" max="6" width="76.5703125" style="119" hidden="1" customWidth="1"/>
    <col min="7" max="8" width="9.140625" style="119" hidden="1" customWidth="1"/>
    <col min="9" max="9" width="16.140625" style="119" hidden="1" customWidth="1"/>
    <col min="10" max="10" width="14.85546875" style="119" hidden="1" customWidth="1"/>
    <col min="11" max="11" width="9.140625" style="119" hidden="1" customWidth="1"/>
    <col min="12" max="12" width="12.5703125" style="119" hidden="1" customWidth="1"/>
    <col min="13" max="13" width="9.140625" style="119" hidden="1" customWidth="1"/>
    <col min="14" max="15" width="9.140625" style="119"/>
    <col min="16" max="16" width="11.7109375" style="119" bestFit="1" customWidth="1"/>
    <col min="17" max="17" width="13.28515625" style="119" bestFit="1" customWidth="1"/>
    <col min="18" max="16384" width="9.140625" style="119"/>
  </cols>
  <sheetData>
    <row r="1" spans="1:17" s="39" customFormat="1" ht="15.75" customHeight="1" x14ac:dyDescent="0.25">
      <c r="A1" s="209" t="s">
        <v>21</v>
      </c>
      <c r="B1" s="209"/>
      <c r="C1" s="209"/>
      <c r="D1" s="209"/>
      <c r="F1" s="40"/>
    </row>
    <row r="2" spans="1:17" s="39" customFormat="1" ht="54" customHeight="1" x14ac:dyDescent="0.25">
      <c r="A2" s="210"/>
      <c r="B2" s="211"/>
      <c r="C2" s="211"/>
      <c r="D2" s="211"/>
      <c r="E2" s="211"/>
      <c r="F2" s="211"/>
      <c r="G2" s="211"/>
      <c r="H2" s="212"/>
      <c r="I2" s="212"/>
      <c r="J2" s="212"/>
      <c r="K2" s="43"/>
      <c r="L2" s="43"/>
      <c r="M2" s="43"/>
    </row>
    <row r="3" spans="1:17" s="39" customFormat="1" ht="27.75" customHeight="1" x14ac:dyDescent="0.25">
      <c r="A3" s="43"/>
      <c r="B3" s="43"/>
      <c r="C3" s="43"/>
      <c r="D3" s="138" t="str">
        <f>[1]параметры!D3</f>
        <v>ввести с 1.01.2022г.</v>
      </c>
      <c r="E3" s="43"/>
      <c r="F3" s="43"/>
      <c r="G3" s="43"/>
      <c r="H3" s="43"/>
      <c r="I3" s="43" t="s">
        <v>23</v>
      </c>
      <c r="J3" s="43"/>
      <c r="K3" s="43"/>
      <c r="L3" s="43">
        <v>2019</v>
      </c>
      <c r="M3" s="43" t="s">
        <v>22</v>
      </c>
      <c r="P3" s="39">
        <v>2021</v>
      </c>
    </row>
    <row r="4" spans="1:17" s="39" customFormat="1" ht="12" hidden="1" customHeight="1" x14ac:dyDescent="0.25">
      <c r="A4" s="45"/>
      <c r="B4" s="45"/>
      <c r="C4" s="45"/>
      <c r="D4" s="45"/>
    </row>
    <row r="5" spans="1:17" s="46" customFormat="1" ht="15.75" customHeight="1" x14ac:dyDescent="0.25">
      <c r="A5" s="213" t="s">
        <v>0</v>
      </c>
      <c r="B5" s="214" t="s">
        <v>24</v>
      </c>
      <c r="C5" s="214" t="s">
        <v>25</v>
      </c>
      <c r="D5" s="214" t="s">
        <v>26</v>
      </c>
      <c r="I5" s="46" t="s">
        <v>26</v>
      </c>
      <c r="J5" s="46" t="s">
        <v>26</v>
      </c>
      <c r="L5" s="46" t="s">
        <v>26</v>
      </c>
      <c r="M5" s="46" t="s">
        <v>26</v>
      </c>
    </row>
    <row r="6" spans="1:17" s="46" customFormat="1" ht="15.75" x14ac:dyDescent="0.25">
      <c r="A6" s="213"/>
      <c r="B6" s="214"/>
      <c r="C6" s="214"/>
      <c r="D6" s="214"/>
      <c r="F6" s="47"/>
      <c r="J6" s="46">
        <v>2014</v>
      </c>
    </row>
    <row r="7" spans="1:17" s="52" customFormat="1" ht="15.75" x14ac:dyDescent="0.25">
      <c r="A7" s="48" t="s">
        <v>28</v>
      </c>
      <c r="B7" s="49" t="s">
        <v>29</v>
      </c>
      <c r="C7" s="50" t="s">
        <v>6</v>
      </c>
      <c r="D7" s="51">
        <f>D8+D11+D14+D17+D20+D23+D26+D29+D32+D35</f>
        <v>0</v>
      </c>
      <c r="E7" s="139" t="e">
        <f>#REF!*#REF!+#REF!*#REF!+#REF!*#REF!+#REF!*#REF!+#REF!*#REF!+#REF!*#REF!+#REF!*#REF!+#REF!*#REF!+#REF!*#REF!+#REF!*#REF!-D7</f>
        <v>#REF!</v>
      </c>
      <c r="I7" s="52">
        <v>538.54999999999995</v>
      </c>
      <c r="J7" s="52">
        <v>546.53</v>
      </c>
      <c r="L7" s="52">
        <v>819.69</v>
      </c>
      <c r="M7" s="52">
        <v>832.80000000000007</v>
      </c>
      <c r="P7" s="140">
        <f>[2]расч!$D$7</f>
        <v>809.06999999999994</v>
      </c>
      <c r="Q7" s="52">
        <f>P7*1.035</f>
        <v>837.38744999999983</v>
      </c>
    </row>
    <row r="8" spans="1:17" s="62" customFormat="1" ht="15.75" x14ac:dyDescent="0.25">
      <c r="A8" s="53" t="s">
        <v>30</v>
      </c>
      <c r="B8" s="54" t="str">
        <f>[1]параметры!B8</f>
        <v>Эмаль ПФ-115, желтая, в/с</v>
      </c>
      <c r="C8" s="55" t="s">
        <v>32</v>
      </c>
      <c r="D8" s="56"/>
      <c r="I8" s="62">
        <v>0</v>
      </c>
      <c r="J8" s="62">
        <v>0</v>
      </c>
      <c r="L8" s="62">
        <v>0</v>
      </c>
      <c r="M8" s="62">
        <v>0</v>
      </c>
    </row>
    <row r="9" spans="1:17" s="62" customFormat="1" x14ac:dyDescent="0.2">
      <c r="A9" s="58"/>
      <c r="B9" s="59" t="s">
        <v>33</v>
      </c>
      <c r="C9" s="60" t="s">
        <v>202</v>
      </c>
      <c r="D9" s="67"/>
    </row>
    <row r="10" spans="1:17" s="62" customFormat="1" x14ac:dyDescent="0.2">
      <c r="A10" s="58"/>
      <c r="B10" s="59" t="s">
        <v>35</v>
      </c>
      <c r="C10" s="64" t="s">
        <v>32</v>
      </c>
      <c r="D10" s="141"/>
    </row>
    <row r="11" spans="1:17" s="62" customFormat="1" ht="15.75" x14ac:dyDescent="0.25">
      <c r="A11" s="53" t="s">
        <v>36</v>
      </c>
      <c r="B11" s="54" t="str">
        <f>[1]параметры!B11</f>
        <v>Кисть малярная плоская КП60</v>
      </c>
      <c r="C11" s="55" t="s">
        <v>32</v>
      </c>
      <c r="D11" s="56"/>
      <c r="I11" s="62">
        <v>0</v>
      </c>
      <c r="J11" s="62">
        <v>0</v>
      </c>
      <c r="L11" s="62">
        <v>0</v>
      </c>
      <c r="M11" s="62">
        <v>0</v>
      </c>
    </row>
    <row r="12" spans="1:17" s="62" customFormat="1" x14ac:dyDescent="0.2">
      <c r="A12" s="58"/>
      <c r="B12" s="59" t="s">
        <v>33</v>
      </c>
      <c r="C12" s="60" t="s">
        <v>203</v>
      </c>
      <c r="D12" s="64"/>
    </row>
    <row r="13" spans="1:17" s="62" customFormat="1" x14ac:dyDescent="0.2">
      <c r="A13" s="58"/>
      <c r="B13" s="59" t="s">
        <v>35</v>
      </c>
      <c r="C13" s="64" t="s">
        <v>32</v>
      </c>
      <c r="D13" s="141"/>
    </row>
    <row r="14" spans="1:17" s="62" customFormat="1" ht="15.75" hidden="1" x14ac:dyDescent="0.25">
      <c r="A14" s="53" t="s">
        <v>39</v>
      </c>
      <c r="B14" s="54" t="str">
        <f>[1]параметры!B14</f>
        <v>Смазка графитная Ж</v>
      </c>
      <c r="C14" s="55" t="s">
        <v>32</v>
      </c>
      <c r="D14" s="56"/>
      <c r="I14" s="62">
        <v>0</v>
      </c>
      <c r="J14" s="62">
        <v>0</v>
      </c>
      <c r="L14" s="62">
        <v>0</v>
      </c>
      <c r="M14" s="62">
        <v>0</v>
      </c>
    </row>
    <row r="15" spans="1:17" s="62" customFormat="1" hidden="1" x14ac:dyDescent="0.2">
      <c r="A15" s="58"/>
      <c r="B15" s="59" t="s">
        <v>33</v>
      </c>
      <c r="C15" s="64" t="s">
        <v>204</v>
      </c>
      <c r="D15" s="142"/>
    </row>
    <row r="16" spans="1:17" s="62" customFormat="1" hidden="1" x14ac:dyDescent="0.2">
      <c r="A16" s="58"/>
      <c r="B16" s="59" t="s">
        <v>35</v>
      </c>
      <c r="C16" s="64" t="s">
        <v>32</v>
      </c>
      <c r="D16" s="141"/>
    </row>
    <row r="17" spans="1:13" s="62" customFormat="1" ht="15.75" x14ac:dyDescent="0.25">
      <c r="A17" s="53" t="s">
        <v>205</v>
      </c>
      <c r="B17" s="54" t="str">
        <f>[1]параметры!B17</f>
        <v>Растворитель Р-646</v>
      </c>
      <c r="C17" s="55" t="s">
        <v>32</v>
      </c>
      <c r="D17" s="56"/>
      <c r="I17" s="62">
        <v>0</v>
      </c>
      <c r="J17" s="62">
        <v>0</v>
      </c>
      <c r="L17" s="62">
        <v>0</v>
      </c>
      <c r="M17" s="62">
        <v>0</v>
      </c>
    </row>
    <row r="18" spans="1:13" s="62" customFormat="1" x14ac:dyDescent="0.2">
      <c r="A18" s="58"/>
      <c r="B18" s="59" t="s">
        <v>33</v>
      </c>
      <c r="C18" s="64" t="s">
        <v>202</v>
      </c>
      <c r="D18" s="64"/>
    </row>
    <row r="19" spans="1:13" s="62" customFormat="1" x14ac:dyDescent="0.2">
      <c r="A19" s="58"/>
      <c r="B19" s="59" t="s">
        <v>35</v>
      </c>
      <c r="C19" s="64" t="s">
        <v>32</v>
      </c>
      <c r="D19" s="141"/>
    </row>
    <row r="20" spans="1:13" s="62" customFormat="1" ht="30.6" customHeight="1" x14ac:dyDescent="0.25">
      <c r="A20" s="53" t="s">
        <v>41</v>
      </c>
      <c r="B20" s="54" t="str">
        <f>[1]параметры!B20</f>
        <v>Паронит общего назначения (ПОН) толщина 1,0мм</v>
      </c>
      <c r="C20" s="55" t="s">
        <v>32</v>
      </c>
      <c r="D20" s="56"/>
      <c r="I20" s="62">
        <v>0</v>
      </c>
      <c r="J20" s="62">
        <v>0</v>
      </c>
      <c r="L20" s="62">
        <v>0</v>
      </c>
      <c r="M20" s="62">
        <v>0</v>
      </c>
    </row>
    <row r="21" spans="1:13" s="62" customFormat="1" x14ac:dyDescent="0.2">
      <c r="A21" s="58"/>
      <c r="B21" s="59" t="s">
        <v>33</v>
      </c>
      <c r="C21" s="64" t="s">
        <v>202</v>
      </c>
      <c r="D21" s="90"/>
    </row>
    <row r="22" spans="1:13" s="62" customFormat="1" x14ac:dyDescent="0.2">
      <c r="A22" s="58"/>
      <c r="B22" s="59" t="s">
        <v>35</v>
      </c>
      <c r="C22" s="64" t="s">
        <v>32</v>
      </c>
      <c r="D22" s="141"/>
    </row>
    <row r="23" spans="1:13" s="62" customFormat="1" ht="15.75" x14ac:dyDescent="0.25">
      <c r="A23" s="53" t="s">
        <v>42</v>
      </c>
      <c r="B23" s="54" t="str">
        <f>[1]параметры!B23</f>
        <v>Паронит общего назначения ПОН 2,0</v>
      </c>
      <c r="C23" s="55" t="s">
        <v>32</v>
      </c>
      <c r="D23" s="56"/>
      <c r="I23" s="62">
        <v>0</v>
      </c>
      <c r="J23" s="62">
        <v>0</v>
      </c>
      <c r="L23" s="62">
        <v>0</v>
      </c>
      <c r="M23" s="62">
        <v>0</v>
      </c>
    </row>
    <row r="24" spans="1:13" s="62" customFormat="1" x14ac:dyDescent="0.2">
      <c r="A24" s="58"/>
      <c r="B24" s="59" t="s">
        <v>33</v>
      </c>
      <c r="C24" s="64" t="s">
        <v>202</v>
      </c>
      <c r="D24" s="65"/>
    </row>
    <row r="25" spans="1:13" s="62" customFormat="1" x14ac:dyDescent="0.2">
      <c r="A25" s="58"/>
      <c r="B25" s="59" t="s">
        <v>35</v>
      </c>
      <c r="C25" s="64" t="s">
        <v>32</v>
      </c>
      <c r="D25" s="141"/>
    </row>
    <row r="26" spans="1:13" s="62" customFormat="1" ht="15.75" x14ac:dyDescent="0.25">
      <c r="A26" s="53" t="s">
        <v>54</v>
      </c>
      <c r="B26" s="54" t="str">
        <f>[1]параметры!B26</f>
        <v xml:space="preserve">Ветошь (кг) </v>
      </c>
      <c r="C26" s="55" t="s">
        <v>32</v>
      </c>
      <c r="D26" s="56"/>
      <c r="I26" s="62">
        <v>0</v>
      </c>
      <c r="J26" s="62">
        <v>0</v>
      </c>
      <c r="L26" s="62">
        <v>0</v>
      </c>
      <c r="M26" s="62">
        <v>0</v>
      </c>
    </row>
    <row r="27" spans="1:13" s="62" customFormat="1" x14ac:dyDescent="0.2">
      <c r="A27" s="58"/>
      <c r="B27" s="59" t="s">
        <v>33</v>
      </c>
      <c r="C27" s="64" t="str">
        <f>[1]параметры!C27</f>
        <v>кг</v>
      </c>
      <c r="D27" s="65"/>
    </row>
    <row r="28" spans="1:13" s="62" customFormat="1" x14ac:dyDescent="0.2">
      <c r="A28" s="58"/>
      <c r="B28" s="59" t="s">
        <v>35</v>
      </c>
      <c r="C28" s="64" t="s">
        <v>32</v>
      </c>
      <c r="D28" s="141"/>
    </row>
    <row r="29" spans="1:13" s="62" customFormat="1" ht="36.6" customHeight="1" x14ac:dyDescent="0.25">
      <c r="A29" s="53" t="s">
        <v>55</v>
      </c>
      <c r="B29" s="54" t="str">
        <f>[1]параметры!B29</f>
        <v>Набивка сальниковая АФТ 6х6 Набивки сальниковые асб. и неасбестовые)</v>
      </c>
      <c r="C29" s="55" t="s">
        <v>32</v>
      </c>
      <c r="D29" s="56"/>
      <c r="I29" s="62">
        <v>0</v>
      </c>
      <c r="J29" s="62">
        <v>0</v>
      </c>
      <c r="L29" s="62">
        <v>0</v>
      </c>
      <c r="M29" s="62">
        <v>0</v>
      </c>
    </row>
    <row r="30" spans="1:13" s="62" customFormat="1" x14ac:dyDescent="0.2">
      <c r="A30" s="58"/>
      <c r="B30" s="59" t="s">
        <v>33</v>
      </c>
      <c r="C30" s="64" t="str">
        <f>[1]параметры!C30</f>
        <v>кг</v>
      </c>
      <c r="D30" s="65"/>
    </row>
    <row r="31" spans="1:13" s="62" customFormat="1" x14ac:dyDescent="0.2">
      <c r="A31" s="58"/>
      <c r="B31" s="59" t="s">
        <v>35</v>
      </c>
      <c r="C31" s="64" t="s">
        <v>32</v>
      </c>
      <c r="D31" s="141"/>
    </row>
    <row r="32" spans="1:13" s="62" customFormat="1" ht="15.75" x14ac:dyDescent="0.25">
      <c r="A32" s="53" t="s">
        <v>56</v>
      </c>
      <c r="B32" s="54" t="str">
        <f>[1]параметры!B32</f>
        <v>Ведро оцинкованное 10л</v>
      </c>
      <c r="C32" s="55" t="s">
        <v>32</v>
      </c>
      <c r="D32" s="56"/>
      <c r="I32" s="62">
        <v>0</v>
      </c>
      <c r="J32" s="62">
        <v>0</v>
      </c>
      <c r="L32" s="62">
        <v>0</v>
      </c>
      <c r="M32" s="62">
        <v>0</v>
      </c>
    </row>
    <row r="33" spans="1:13" s="62" customFormat="1" x14ac:dyDescent="0.2">
      <c r="A33" s="58"/>
      <c r="B33" s="59" t="s">
        <v>33</v>
      </c>
      <c r="C33" s="64" t="s">
        <v>203</v>
      </c>
      <c r="D33" s="65"/>
    </row>
    <row r="34" spans="1:13" s="62" customFormat="1" x14ac:dyDescent="0.2">
      <c r="A34" s="58"/>
      <c r="B34" s="59" t="s">
        <v>35</v>
      </c>
      <c r="C34" s="64" t="s">
        <v>32</v>
      </c>
      <c r="D34" s="141"/>
    </row>
    <row r="35" spans="1:13" s="62" customFormat="1" ht="15.75" x14ac:dyDescent="0.25">
      <c r="A35" s="53" t="s">
        <v>57</v>
      </c>
      <c r="B35" s="54" t="str">
        <f>[1]параметры!B35</f>
        <v xml:space="preserve">Эмаль ПФ-115, красная 1/С </v>
      </c>
      <c r="C35" s="55" t="s">
        <v>32</v>
      </c>
      <c r="D35" s="56"/>
      <c r="I35" s="62">
        <v>0</v>
      </c>
      <c r="J35" s="62">
        <v>0</v>
      </c>
      <c r="L35" s="62">
        <v>0</v>
      </c>
      <c r="M35" s="62">
        <v>0</v>
      </c>
    </row>
    <row r="36" spans="1:13" s="62" customFormat="1" x14ac:dyDescent="0.2">
      <c r="A36" s="58"/>
      <c r="B36" s="59" t="s">
        <v>33</v>
      </c>
      <c r="C36" s="64" t="s">
        <v>202</v>
      </c>
      <c r="D36" s="65"/>
    </row>
    <row r="37" spans="1:13" s="62" customFormat="1" x14ac:dyDescent="0.2">
      <c r="A37" s="58"/>
      <c r="B37" s="59" t="s">
        <v>35</v>
      </c>
      <c r="C37" s="64" t="s">
        <v>32</v>
      </c>
      <c r="D37" s="141"/>
    </row>
    <row r="38" spans="1:13" s="62" customFormat="1" ht="15.75" hidden="1" x14ac:dyDescent="0.25">
      <c r="A38" s="53" t="s">
        <v>58</v>
      </c>
      <c r="B38" s="68"/>
      <c r="C38" s="55" t="s">
        <v>32</v>
      </c>
      <c r="D38" s="56"/>
      <c r="I38" s="62">
        <v>0</v>
      </c>
      <c r="J38" s="62">
        <v>0</v>
      </c>
      <c r="L38" s="62">
        <v>0</v>
      </c>
      <c r="M38" s="62">
        <v>0</v>
      </c>
    </row>
    <row r="39" spans="1:13" s="62" customFormat="1" hidden="1" x14ac:dyDescent="0.2">
      <c r="A39" s="58"/>
      <c r="B39" s="59" t="s">
        <v>33</v>
      </c>
      <c r="C39" s="64"/>
      <c r="D39" s="64"/>
    </row>
    <row r="40" spans="1:13" s="62" customFormat="1" hidden="1" x14ac:dyDescent="0.2">
      <c r="A40" s="58"/>
      <c r="B40" s="59" t="s">
        <v>35</v>
      </c>
      <c r="C40" s="64" t="s">
        <v>32</v>
      </c>
      <c r="D40" s="64"/>
    </row>
    <row r="41" spans="1:13" s="62" customFormat="1" ht="15.75" hidden="1" x14ac:dyDescent="0.25">
      <c r="A41" s="53" t="s">
        <v>59</v>
      </c>
      <c r="B41" s="70"/>
      <c r="C41" s="55" t="s">
        <v>32</v>
      </c>
      <c r="D41" s="56"/>
      <c r="I41" s="62">
        <v>0</v>
      </c>
      <c r="J41" s="62">
        <v>0</v>
      </c>
      <c r="L41" s="62">
        <v>0</v>
      </c>
      <c r="M41" s="62">
        <v>0</v>
      </c>
    </row>
    <row r="42" spans="1:13" s="62" customFormat="1" hidden="1" x14ac:dyDescent="0.2">
      <c r="A42" s="58"/>
      <c r="B42" s="59" t="s">
        <v>33</v>
      </c>
      <c r="C42" s="64"/>
      <c r="D42" s="64"/>
    </row>
    <row r="43" spans="1:13" s="62" customFormat="1" hidden="1" x14ac:dyDescent="0.2">
      <c r="A43" s="58"/>
      <c r="B43" s="59" t="s">
        <v>35</v>
      </c>
      <c r="C43" s="64" t="s">
        <v>32</v>
      </c>
      <c r="D43" s="64"/>
    </row>
    <row r="44" spans="1:13" s="62" customFormat="1" ht="15.75" hidden="1" x14ac:dyDescent="0.25">
      <c r="A44" s="53" t="s">
        <v>60</v>
      </c>
      <c r="B44" s="71"/>
      <c r="C44" s="55" t="s">
        <v>32</v>
      </c>
      <c r="D44" s="56"/>
      <c r="I44" s="62">
        <v>0</v>
      </c>
      <c r="J44" s="62">
        <v>0</v>
      </c>
      <c r="L44" s="62">
        <v>0</v>
      </c>
      <c r="M44" s="62">
        <v>0</v>
      </c>
    </row>
    <row r="45" spans="1:13" s="62" customFormat="1" hidden="1" x14ac:dyDescent="0.2">
      <c r="A45" s="58"/>
      <c r="B45" s="59" t="s">
        <v>33</v>
      </c>
      <c r="C45" s="64"/>
      <c r="D45" s="64"/>
    </row>
    <row r="46" spans="1:13" s="62" customFormat="1" hidden="1" x14ac:dyDescent="0.2">
      <c r="A46" s="58"/>
      <c r="B46" s="59" t="s">
        <v>35</v>
      </c>
      <c r="C46" s="64" t="s">
        <v>32</v>
      </c>
      <c r="D46" s="64"/>
    </row>
    <row r="47" spans="1:13" s="62" customFormat="1" ht="15.75" hidden="1" x14ac:dyDescent="0.25">
      <c r="A47" s="53" t="s">
        <v>61</v>
      </c>
      <c r="B47" s="68"/>
      <c r="C47" s="55" t="s">
        <v>32</v>
      </c>
      <c r="D47" s="56"/>
      <c r="I47" s="62">
        <v>0</v>
      </c>
      <c r="J47" s="62">
        <v>0</v>
      </c>
      <c r="L47" s="62">
        <v>0</v>
      </c>
      <c r="M47" s="62">
        <v>0</v>
      </c>
    </row>
    <row r="48" spans="1:13" s="62" customFormat="1" hidden="1" x14ac:dyDescent="0.2">
      <c r="A48" s="58"/>
      <c r="B48" s="59" t="s">
        <v>33</v>
      </c>
      <c r="C48" s="64"/>
      <c r="D48" s="64"/>
    </row>
    <row r="49" spans="1:13" s="62" customFormat="1" hidden="1" x14ac:dyDescent="0.2">
      <c r="A49" s="58"/>
      <c r="B49" s="59" t="s">
        <v>35</v>
      </c>
      <c r="C49" s="64" t="s">
        <v>32</v>
      </c>
      <c r="D49" s="64"/>
    </row>
    <row r="50" spans="1:13" s="62" customFormat="1" ht="15.75" hidden="1" x14ac:dyDescent="0.25">
      <c r="A50" s="53" t="s">
        <v>62</v>
      </c>
      <c r="B50" s="68"/>
      <c r="C50" s="55" t="s">
        <v>32</v>
      </c>
      <c r="D50" s="56"/>
      <c r="I50" s="62">
        <v>0</v>
      </c>
      <c r="J50" s="62">
        <v>0</v>
      </c>
      <c r="L50" s="62">
        <v>0</v>
      </c>
      <c r="M50" s="62">
        <v>0</v>
      </c>
    </row>
    <row r="51" spans="1:13" s="62" customFormat="1" hidden="1" x14ac:dyDescent="0.2">
      <c r="A51" s="58"/>
      <c r="B51" s="59" t="s">
        <v>33</v>
      </c>
      <c r="C51" s="64"/>
      <c r="D51" s="64"/>
    </row>
    <row r="52" spans="1:13" s="62" customFormat="1" hidden="1" x14ac:dyDescent="0.2">
      <c r="A52" s="58"/>
      <c r="B52" s="59" t="s">
        <v>35</v>
      </c>
      <c r="C52" s="64" t="s">
        <v>32</v>
      </c>
      <c r="D52" s="64"/>
    </row>
    <row r="53" spans="1:13" s="62" customFormat="1" ht="15.75" hidden="1" x14ac:dyDescent="0.25">
      <c r="A53" s="53" t="s">
        <v>63</v>
      </c>
      <c r="B53" s="54"/>
      <c r="C53" s="55" t="s">
        <v>32</v>
      </c>
      <c r="D53" s="56"/>
      <c r="I53" s="62">
        <v>0</v>
      </c>
      <c r="J53" s="62">
        <v>0</v>
      </c>
      <c r="L53" s="62">
        <v>0</v>
      </c>
      <c r="M53" s="62">
        <v>0</v>
      </c>
    </row>
    <row r="54" spans="1:13" s="62" customFormat="1" hidden="1" x14ac:dyDescent="0.2">
      <c r="A54" s="58"/>
      <c r="B54" s="59" t="s">
        <v>33</v>
      </c>
      <c r="C54" s="64"/>
      <c r="D54" s="64"/>
    </row>
    <row r="55" spans="1:13" s="62" customFormat="1" hidden="1" x14ac:dyDescent="0.2">
      <c r="A55" s="58"/>
      <c r="B55" s="59" t="s">
        <v>35</v>
      </c>
      <c r="C55" s="64" t="s">
        <v>32</v>
      </c>
      <c r="D55" s="64"/>
    </row>
    <row r="56" spans="1:13" s="62" customFormat="1" ht="15.75" hidden="1" x14ac:dyDescent="0.25">
      <c r="A56" s="53" t="s">
        <v>64</v>
      </c>
      <c r="B56" s="68"/>
      <c r="C56" s="55" t="s">
        <v>32</v>
      </c>
      <c r="D56" s="56"/>
      <c r="I56" s="62">
        <v>0</v>
      </c>
      <c r="J56" s="62">
        <v>0</v>
      </c>
      <c r="L56" s="62">
        <v>0</v>
      </c>
      <c r="M56" s="62">
        <v>0</v>
      </c>
    </row>
    <row r="57" spans="1:13" s="62" customFormat="1" hidden="1" x14ac:dyDescent="0.2">
      <c r="A57" s="58"/>
      <c r="B57" s="59" t="s">
        <v>33</v>
      </c>
      <c r="C57" s="64"/>
      <c r="D57" s="64"/>
    </row>
    <row r="58" spans="1:13" s="62" customFormat="1" hidden="1" x14ac:dyDescent="0.2">
      <c r="A58" s="58"/>
      <c r="B58" s="59" t="s">
        <v>35</v>
      </c>
      <c r="C58" s="64" t="s">
        <v>32</v>
      </c>
      <c r="D58" s="64"/>
    </row>
    <row r="59" spans="1:13" s="62" customFormat="1" ht="15.75" hidden="1" x14ac:dyDescent="0.25">
      <c r="A59" s="53" t="s">
        <v>65</v>
      </c>
      <c r="B59" s="68"/>
      <c r="C59" s="55" t="s">
        <v>32</v>
      </c>
      <c r="D59" s="56"/>
      <c r="I59" s="62">
        <v>0</v>
      </c>
      <c r="J59" s="62">
        <v>0</v>
      </c>
      <c r="L59" s="62">
        <v>0</v>
      </c>
      <c r="M59" s="62">
        <v>0</v>
      </c>
    </row>
    <row r="60" spans="1:13" s="62" customFormat="1" hidden="1" x14ac:dyDescent="0.2">
      <c r="A60" s="58"/>
      <c r="B60" s="59" t="s">
        <v>33</v>
      </c>
      <c r="C60" s="64"/>
      <c r="D60" s="64"/>
    </row>
    <row r="61" spans="1:13" s="62" customFormat="1" hidden="1" x14ac:dyDescent="0.2">
      <c r="A61" s="58"/>
      <c r="B61" s="59" t="s">
        <v>35</v>
      </c>
      <c r="C61" s="64" t="s">
        <v>32</v>
      </c>
      <c r="D61" s="64"/>
    </row>
    <row r="62" spans="1:13" s="62" customFormat="1" ht="15.75" hidden="1" x14ac:dyDescent="0.25">
      <c r="A62" s="53" t="s">
        <v>66</v>
      </c>
      <c r="B62" s="54"/>
      <c r="C62" s="55" t="s">
        <v>32</v>
      </c>
      <c r="D62" s="56"/>
      <c r="I62" s="62">
        <v>0</v>
      </c>
      <c r="J62" s="62">
        <v>0</v>
      </c>
      <c r="L62" s="62">
        <v>0</v>
      </c>
      <c r="M62" s="62">
        <v>0</v>
      </c>
    </row>
    <row r="63" spans="1:13" s="62" customFormat="1" hidden="1" x14ac:dyDescent="0.2">
      <c r="A63" s="58"/>
      <c r="B63" s="59" t="s">
        <v>33</v>
      </c>
      <c r="C63" s="64"/>
      <c r="D63" s="64"/>
    </row>
    <row r="64" spans="1:13" s="62" customFormat="1" hidden="1" x14ac:dyDescent="0.2">
      <c r="A64" s="58"/>
      <c r="B64" s="59" t="s">
        <v>35</v>
      </c>
      <c r="C64" s="64" t="s">
        <v>32</v>
      </c>
      <c r="D64" s="64"/>
    </row>
    <row r="65" spans="1:13" s="62" customFormat="1" ht="15.75" hidden="1" x14ac:dyDescent="0.25">
      <c r="A65" s="53" t="s">
        <v>67</v>
      </c>
      <c r="B65" s="54"/>
      <c r="C65" s="55" t="s">
        <v>32</v>
      </c>
      <c r="D65" s="56"/>
      <c r="I65" s="62">
        <v>0</v>
      </c>
      <c r="J65" s="62">
        <v>0</v>
      </c>
      <c r="L65" s="62">
        <v>0</v>
      </c>
      <c r="M65" s="62">
        <v>0</v>
      </c>
    </row>
    <row r="66" spans="1:13" s="62" customFormat="1" hidden="1" x14ac:dyDescent="0.2">
      <c r="A66" s="58"/>
      <c r="B66" s="59" t="s">
        <v>33</v>
      </c>
      <c r="C66" s="64"/>
      <c r="D66" s="64"/>
    </row>
    <row r="67" spans="1:13" s="62" customFormat="1" hidden="1" x14ac:dyDescent="0.2">
      <c r="A67" s="58"/>
      <c r="B67" s="59" t="s">
        <v>35</v>
      </c>
      <c r="C67" s="64" t="s">
        <v>32</v>
      </c>
      <c r="D67" s="64"/>
    </row>
    <row r="68" spans="1:13" s="62" customFormat="1" ht="15.75" hidden="1" x14ac:dyDescent="0.25">
      <c r="A68" s="53" t="s">
        <v>68</v>
      </c>
      <c r="B68" s="68"/>
      <c r="C68" s="55" t="s">
        <v>32</v>
      </c>
      <c r="D68" s="56"/>
      <c r="I68" s="62">
        <v>0</v>
      </c>
      <c r="J68" s="62">
        <v>0</v>
      </c>
      <c r="L68" s="62">
        <v>0</v>
      </c>
      <c r="M68" s="62">
        <v>0</v>
      </c>
    </row>
    <row r="69" spans="1:13" s="62" customFormat="1" hidden="1" x14ac:dyDescent="0.2">
      <c r="A69" s="58"/>
      <c r="B69" s="59" t="s">
        <v>33</v>
      </c>
      <c r="C69" s="64"/>
      <c r="D69" s="64"/>
    </row>
    <row r="70" spans="1:13" s="62" customFormat="1" hidden="1" x14ac:dyDescent="0.2">
      <c r="A70" s="58"/>
      <c r="B70" s="59" t="s">
        <v>35</v>
      </c>
      <c r="C70" s="64" t="s">
        <v>32</v>
      </c>
      <c r="D70" s="64"/>
    </row>
    <row r="71" spans="1:13" s="62" customFormat="1" ht="15.75" hidden="1" x14ac:dyDescent="0.25">
      <c r="A71" s="53" t="s">
        <v>69</v>
      </c>
      <c r="B71" s="54"/>
      <c r="C71" s="55" t="s">
        <v>32</v>
      </c>
      <c r="D71" s="56"/>
      <c r="I71" s="62">
        <v>0</v>
      </c>
      <c r="J71" s="62">
        <v>0</v>
      </c>
      <c r="L71" s="62">
        <v>0</v>
      </c>
      <c r="M71" s="62">
        <v>0</v>
      </c>
    </row>
    <row r="72" spans="1:13" s="62" customFormat="1" hidden="1" x14ac:dyDescent="0.2">
      <c r="A72" s="58"/>
      <c r="B72" s="59" t="s">
        <v>33</v>
      </c>
      <c r="C72" s="64"/>
      <c r="D72" s="64"/>
    </row>
    <row r="73" spans="1:13" s="62" customFormat="1" hidden="1" x14ac:dyDescent="0.2">
      <c r="A73" s="58"/>
      <c r="B73" s="59" t="s">
        <v>35</v>
      </c>
      <c r="C73" s="64" t="s">
        <v>32</v>
      </c>
      <c r="D73" s="64"/>
    </row>
    <row r="74" spans="1:13" s="62" customFormat="1" ht="15.75" hidden="1" x14ac:dyDescent="0.25">
      <c r="A74" s="53" t="s">
        <v>70</v>
      </c>
      <c r="B74" s="54"/>
      <c r="C74" s="55" t="s">
        <v>32</v>
      </c>
      <c r="D74" s="56"/>
      <c r="I74" s="62">
        <v>0</v>
      </c>
      <c r="J74" s="62">
        <v>0</v>
      </c>
      <c r="L74" s="62">
        <v>0</v>
      </c>
      <c r="M74" s="62">
        <v>0</v>
      </c>
    </row>
    <row r="75" spans="1:13" s="62" customFormat="1" hidden="1" x14ac:dyDescent="0.2">
      <c r="A75" s="58"/>
      <c r="B75" s="59" t="s">
        <v>33</v>
      </c>
      <c r="C75" s="64"/>
      <c r="D75" s="64"/>
    </row>
    <row r="76" spans="1:13" s="62" customFormat="1" hidden="1" x14ac:dyDescent="0.2">
      <c r="A76" s="58"/>
      <c r="B76" s="59" t="s">
        <v>35</v>
      </c>
      <c r="C76" s="64" t="s">
        <v>32</v>
      </c>
      <c r="D76" s="64"/>
    </row>
    <row r="77" spans="1:13" s="62" customFormat="1" ht="15.75" hidden="1" x14ac:dyDescent="0.25">
      <c r="A77" s="53" t="s">
        <v>71</v>
      </c>
      <c r="B77" s="68"/>
      <c r="C77" s="55" t="s">
        <v>32</v>
      </c>
      <c r="D77" s="56"/>
      <c r="I77" s="62">
        <v>0</v>
      </c>
      <c r="J77" s="62">
        <v>0</v>
      </c>
      <c r="L77" s="62">
        <v>0</v>
      </c>
      <c r="M77" s="62">
        <v>0</v>
      </c>
    </row>
    <row r="78" spans="1:13" s="62" customFormat="1" hidden="1" x14ac:dyDescent="0.2">
      <c r="A78" s="58"/>
      <c r="B78" s="59" t="s">
        <v>33</v>
      </c>
      <c r="C78" s="64"/>
      <c r="D78" s="64"/>
    </row>
    <row r="79" spans="1:13" s="62" customFormat="1" hidden="1" x14ac:dyDescent="0.2">
      <c r="A79" s="58"/>
      <c r="B79" s="59" t="s">
        <v>35</v>
      </c>
      <c r="C79" s="64" t="s">
        <v>32</v>
      </c>
      <c r="D79" s="64"/>
    </row>
    <row r="80" spans="1:13" s="62" customFormat="1" ht="15.75" hidden="1" x14ac:dyDescent="0.25">
      <c r="A80" s="53" t="s">
        <v>72</v>
      </c>
      <c r="B80" s="68"/>
      <c r="C80" s="55" t="s">
        <v>32</v>
      </c>
      <c r="D80" s="56"/>
      <c r="I80" s="62">
        <v>0</v>
      </c>
      <c r="J80" s="62">
        <v>0</v>
      </c>
      <c r="L80" s="62">
        <v>0</v>
      </c>
      <c r="M80" s="62">
        <v>0</v>
      </c>
    </row>
    <row r="81" spans="1:13" s="62" customFormat="1" hidden="1" x14ac:dyDescent="0.2">
      <c r="A81" s="58"/>
      <c r="B81" s="59" t="s">
        <v>33</v>
      </c>
      <c r="C81" s="64"/>
      <c r="D81" s="64"/>
    </row>
    <row r="82" spans="1:13" s="62" customFormat="1" hidden="1" x14ac:dyDescent="0.2">
      <c r="A82" s="58"/>
      <c r="B82" s="59" t="s">
        <v>35</v>
      </c>
      <c r="C82" s="64" t="s">
        <v>32</v>
      </c>
      <c r="D82" s="64"/>
    </row>
    <row r="83" spans="1:13" s="62" customFormat="1" ht="15.75" hidden="1" x14ac:dyDescent="0.25">
      <c r="A83" s="53" t="s">
        <v>73</v>
      </c>
      <c r="B83" s="68"/>
      <c r="C83" s="55" t="s">
        <v>32</v>
      </c>
      <c r="D83" s="56"/>
      <c r="I83" s="62">
        <v>0</v>
      </c>
      <c r="J83" s="62">
        <v>0</v>
      </c>
      <c r="L83" s="62">
        <v>0</v>
      </c>
      <c r="M83" s="62">
        <v>0</v>
      </c>
    </row>
    <row r="84" spans="1:13" s="62" customFormat="1" hidden="1" x14ac:dyDescent="0.2">
      <c r="A84" s="58"/>
      <c r="B84" s="59" t="s">
        <v>33</v>
      </c>
      <c r="C84" s="64"/>
      <c r="D84" s="64"/>
    </row>
    <row r="85" spans="1:13" s="62" customFormat="1" hidden="1" x14ac:dyDescent="0.2">
      <c r="A85" s="58"/>
      <c r="B85" s="59" t="s">
        <v>35</v>
      </c>
      <c r="C85" s="64" t="s">
        <v>32</v>
      </c>
      <c r="D85" s="64"/>
    </row>
    <row r="86" spans="1:13" s="62" customFormat="1" ht="15.75" hidden="1" x14ac:dyDescent="0.25">
      <c r="A86" s="53" t="s">
        <v>74</v>
      </c>
      <c r="B86" s="68"/>
      <c r="C86" s="55" t="s">
        <v>32</v>
      </c>
      <c r="D86" s="56"/>
      <c r="I86" s="62">
        <v>0</v>
      </c>
      <c r="J86" s="62">
        <v>0</v>
      </c>
      <c r="L86" s="62">
        <v>0</v>
      </c>
      <c r="M86" s="62">
        <v>0</v>
      </c>
    </row>
    <row r="87" spans="1:13" s="62" customFormat="1" hidden="1" x14ac:dyDescent="0.2">
      <c r="A87" s="58"/>
      <c r="B87" s="59" t="s">
        <v>33</v>
      </c>
      <c r="C87" s="64"/>
      <c r="D87" s="64"/>
    </row>
    <row r="88" spans="1:13" s="62" customFormat="1" hidden="1" x14ac:dyDescent="0.2">
      <c r="A88" s="58"/>
      <c r="B88" s="59" t="s">
        <v>35</v>
      </c>
      <c r="C88" s="64" t="s">
        <v>32</v>
      </c>
      <c r="D88" s="64"/>
    </row>
    <row r="89" spans="1:13" s="62" customFormat="1" ht="15.75" hidden="1" x14ac:dyDescent="0.25">
      <c r="A89" s="53" t="s">
        <v>75</v>
      </c>
      <c r="B89" s="68"/>
      <c r="C89" s="55" t="s">
        <v>32</v>
      </c>
      <c r="D89" s="56"/>
      <c r="I89" s="62">
        <v>0</v>
      </c>
      <c r="J89" s="62">
        <v>0</v>
      </c>
      <c r="L89" s="62">
        <v>0</v>
      </c>
      <c r="M89" s="62">
        <v>0</v>
      </c>
    </row>
    <row r="90" spans="1:13" s="62" customFormat="1" hidden="1" x14ac:dyDescent="0.2">
      <c r="A90" s="58"/>
      <c r="B90" s="59" t="s">
        <v>33</v>
      </c>
      <c r="C90" s="64"/>
      <c r="D90" s="64"/>
    </row>
    <row r="91" spans="1:13" s="62" customFormat="1" hidden="1" x14ac:dyDescent="0.2">
      <c r="A91" s="58"/>
      <c r="B91" s="59" t="s">
        <v>35</v>
      </c>
      <c r="C91" s="64" t="s">
        <v>32</v>
      </c>
      <c r="D91" s="64"/>
    </row>
    <row r="92" spans="1:13" s="62" customFormat="1" ht="15.75" hidden="1" x14ac:dyDescent="0.25">
      <c r="A92" s="53" t="s">
        <v>76</v>
      </c>
      <c r="B92" s="54"/>
      <c r="C92" s="55" t="s">
        <v>32</v>
      </c>
      <c r="D92" s="56"/>
      <c r="I92" s="62">
        <v>0</v>
      </c>
      <c r="J92" s="62">
        <v>0</v>
      </c>
      <c r="L92" s="62">
        <v>0</v>
      </c>
      <c r="M92" s="62">
        <v>0</v>
      </c>
    </row>
    <row r="93" spans="1:13" s="62" customFormat="1" hidden="1" x14ac:dyDescent="0.2">
      <c r="A93" s="58"/>
      <c r="B93" s="59" t="s">
        <v>33</v>
      </c>
      <c r="C93" s="64"/>
      <c r="D93" s="64"/>
    </row>
    <row r="94" spans="1:13" s="62" customFormat="1" hidden="1" x14ac:dyDescent="0.2">
      <c r="A94" s="58"/>
      <c r="B94" s="59" t="s">
        <v>35</v>
      </c>
      <c r="C94" s="64" t="s">
        <v>32</v>
      </c>
      <c r="D94" s="64"/>
    </row>
    <row r="95" spans="1:13" s="62" customFormat="1" ht="15.75" hidden="1" x14ac:dyDescent="0.25">
      <c r="A95" s="53" t="s">
        <v>77</v>
      </c>
      <c r="B95" s="54"/>
      <c r="C95" s="55" t="s">
        <v>32</v>
      </c>
      <c r="D95" s="56"/>
      <c r="I95" s="62">
        <v>0</v>
      </c>
      <c r="J95" s="62">
        <v>0</v>
      </c>
      <c r="L95" s="62">
        <v>0</v>
      </c>
      <c r="M95" s="62">
        <v>0</v>
      </c>
    </row>
    <row r="96" spans="1:13" s="62" customFormat="1" hidden="1" x14ac:dyDescent="0.2">
      <c r="A96" s="58"/>
      <c r="B96" s="59" t="s">
        <v>33</v>
      </c>
      <c r="C96" s="64"/>
      <c r="D96" s="64"/>
    </row>
    <row r="97" spans="1:13" s="62" customFormat="1" hidden="1" x14ac:dyDescent="0.2">
      <c r="A97" s="58"/>
      <c r="B97" s="59" t="s">
        <v>35</v>
      </c>
      <c r="C97" s="64" t="s">
        <v>32</v>
      </c>
      <c r="D97" s="64"/>
    </row>
    <row r="98" spans="1:13" s="62" customFormat="1" ht="15.75" hidden="1" x14ac:dyDescent="0.25">
      <c r="A98" s="53" t="s">
        <v>78</v>
      </c>
      <c r="B98" s="54"/>
      <c r="C98" s="55" t="s">
        <v>32</v>
      </c>
      <c r="D98" s="56"/>
      <c r="I98" s="62">
        <v>0</v>
      </c>
      <c r="J98" s="62">
        <v>0</v>
      </c>
      <c r="L98" s="62">
        <v>0</v>
      </c>
      <c r="M98" s="62">
        <v>0</v>
      </c>
    </row>
    <row r="99" spans="1:13" s="62" customFormat="1" hidden="1" x14ac:dyDescent="0.2">
      <c r="A99" s="58"/>
      <c r="B99" s="59" t="s">
        <v>33</v>
      </c>
      <c r="C99" s="64"/>
      <c r="D99" s="64"/>
    </row>
    <row r="100" spans="1:13" s="62" customFormat="1" hidden="1" x14ac:dyDescent="0.2">
      <c r="A100" s="58"/>
      <c r="B100" s="59" t="s">
        <v>35</v>
      </c>
      <c r="C100" s="64" t="s">
        <v>32</v>
      </c>
      <c r="D100" s="64"/>
    </row>
    <row r="101" spans="1:13" s="62" customFormat="1" ht="15.75" hidden="1" x14ac:dyDescent="0.25">
      <c r="A101" s="53" t="s">
        <v>79</v>
      </c>
      <c r="B101" s="72"/>
      <c r="C101" s="55" t="s">
        <v>32</v>
      </c>
      <c r="D101" s="56"/>
      <c r="I101" s="62">
        <v>0</v>
      </c>
      <c r="J101" s="62">
        <v>0</v>
      </c>
      <c r="L101" s="62">
        <v>0</v>
      </c>
      <c r="M101" s="62">
        <v>0</v>
      </c>
    </row>
    <row r="102" spans="1:13" s="62" customFormat="1" hidden="1" x14ac:dyDescent="0.2">
      <c r="A102" s="58"/>
      <c r="B102" s="59" t="s">
        <v>33</v>
      </c>
      <c r="C102" s="64"/>
      <c r="D102" s="64"/>
    </row>
    <row r="103" spans="1:13" s="62" customFormat="1" hidden="1" x14ac:dyDescent="0.2">
      <c r="A103" s="58"/>
      <c r="B103" s="59" t="s">
        <v>35</v>
      </c>
      <c r="C103" s="64" t="s">
        <v>32</v>
      </c>
      <c r="D103" s="64"/>
    </row>
    <row r="104" spans="1:13" s="62" customFormat="1" ht="15.75" hidden="1" x14ac:dyDescent="0.25">
      <c r="A104" s="53" t="s">
        <v>80</v>
      </c>
      <c r="B104" s="68"/>
      <c r="C104" s="55" t="s">
        <v>32</v>
      </c>
      <c r="D104" s="56"/>
      <c r="I104" s="62">
        <v>0</v>
      </c>
      <c r="J104" s="62">
        <v>0</v>
      </c>
      <c r="L104" s="62">
        <v>0</v>
      </c>
      <c r="M104" s="62">
        <v>0</v>
      </c>
    </row>
    <row r="105" spans="1:13" s="62" customFormat="1" hidden="1" x14ac:dyDescent="0.2">
      <c r="A105" s="58"/>
      <c r="B105" s="59" t="s">
        <v>33</v>
      </c>
      <c r="C105" s="64"/>
      <c r="D105" s="64"/>
    </row>
    <row r="106" spans="1:13" s="62" customFormat="1" hidden="1" x14ac:dyDescent="0.2">
      <c r="A106" s="58"/>
      <c r="B106" s="59" t="s">
        <v>35</v>
      </c>
      <c r="C106" s="64" t="s">
        <v>32</v>
      </c>
      <c r="D106" s="64"/>
    </row>
    <row r="107" spans="1:13" s="62" customFormat="1" ht="15.75" hidden="1" x14ac:dyDescent="0.25">
      <c r="A107" s="53" t="s">
        <v>81</v>
      </c>
      <c r="B107" s="68"/>
      <c r="C107" s="55" t="s">
        <v>32</v>
      </c>
      <c r="D107" s="56"/>
      <c r="I107" s="62">
        <v>0</v>
      </c>
      <c r="J107" s="62">
        <v>0</v>
      </c>
      <c r="L107" s="62">
        <v>0</v>
      </c>
      <c r="M107" s="62">
        <v>0</v>
      </c>
    </row>
    <row r="108" spans="1:13" s="62" customFormat="1" hidden="1" x14ac:dyDescent="0.2">
      <c r="A108" s="58"/>
      <c r="B108" s="59" t="s">
        <v>33</v>
      </c>
      <c r="C108" s="64"/>
      <c r="D108" s="64"/>
    </row>
    <row r="109" spans="1:13" s="62" customFormat="1" hidden="1" x14ac:dyDescent="0.2">
      <c r="A109" s="58"/>
      <c r="B109" s="59" t="s">
        <v>35</v>
      </c>
      <c r="C109" s="64" t="s">
        <v>32</v>
      </c>
      <c r="D109" s="64"/>
    </row>
    <row r="110" spans="1:13" s="62" customFormat="1" ht="15.75" hidden="1" x14ac:dyDescent="0.25">
      <c r="A110" s="53" t="s">
        <v>82</v>
      </c>
      <c r="B110" s="68"/>
      <c r="C110" s="55" t="s">
        <v>32</v>
      </c>
      <c r="D110" s="56"/>
      <c r="I110" s="62">
        <v>0</v>
      </c>
      <c r="J110" s="62">
        <v>0</v>
      </c>
      <c r="L110" s="62">
        <v>0</v>
      </c>
      <c r="M110" s="62">
        <v>0</v>
      </c>
    </row>
    <row r="111" spans="1:13" s="62" customFormat="1" hidden="1" x14ac:dyDescent="0.2">
      <c r="A111" s="58"/>
      <c r="B111" s="59" t="s">
        <v>33</v>
      </c>
      <c r="C111" s="64"/>
      <c r="D111" s="64"/>
    </row>
    <row r="112" spans="1:13" s="62" customFormat="1" hidden="1" x14ac:dyDescent="0.2">
      <c r="A112" s="58"/>
      <c r="B112" s="59" t="s">
        <v>35</v>
      </c>
      <c r="C112" s="64" t="s">
        <v>32</v>
      </c>
      <c r="D112" s="64"/>
    </row>
    <row r="113" spans="1:13" s="62" customFormat="1" ht="15.75" hidden="1" x14ac:dyDescent="0.25">
      <c r="A113" s="53" t="s">
        <v>83</v>
      </c>
      <c r="B113" s="71"/>
      <c r="C113" s="55" t="s">
        <v>32</v>
      </c>
      <c r="D113" s="56"/>
      <c r="I113" s="62">
        <v>0</v>
      </c>
      <c r="J113" s="62">
        <v>0</v>
      </c>
      <c r="L113" s="62">
        <v>0</v>
      </c>
      <c r="M113" s="62">
        <v>0</v>
      </c>
    </row>
    <row r="114" spans="1:13" s="62" customFormat="1" hidden="1" x14ac:dyDescent="0.2">
      <c r="A114" s="58"/>
      <c r="B114" s="59" t="s">
        <v>33</v>
      </c>
      <c r="C114" s="64"/>
      <c r="D114" s="64"/>
    </row>
    <row r="115" spans="1:13" s="62" customFormat="1" hidden="1" x14ac:dyDescent="0.2">
      <c r="A115" s="58"/>
      <c r="B115" s="59" t="s">
        <v>35</v>
      </c>
      <c r="C115" s="64" t="s">
        <v>32</v>
      </c>
      <c r="D115" s="64"/>
    </row>
    <row r="116" spans="1:13" s="62" customFormat="1" ht="15.75" hidden="1" x14ac:dyDescent="0.25">
      <c r="A116" s="53" t="s">
        <v>84</v>
      </c>
      <c r="B116" s="71"/>
      <c r="C116" s="55" t="s">
        <v>32</v>
      </c>
      <c r="D116" s="56"/>
      <c r="I116" s="62">
        <v>0</v>
      </c>
      <c r="J116" s="62">
        <v>0</v>
      </c>
      <c r="L116" s="62">
        <v>0</v>
      </c>
      <c r="M116" s="62">
        <v>0</v>
      </c>
    </row>
    <row r="117" spans="1:13" s="62" customFormat="1" hidden="1" x14ac:dyDescent="0.2">
      <c r="A117" s="58"/>
      <c r="B117" s="59" t="s">
        <v>33</v>
      </c>
      <c r="C117" s="64"/>
      <c r="D117" s="64"/>
    </row>
    <row r="118" spans="1:13" s="62" customFormat="1" hidden="1" x14ac:dyDescent="0.2">
      <c r="A118" s="58"/>
      <c r="B118" s="59" t="s">
        <v>35</v>
      </c>
      <c r="C118" s="64" t="s">
        <v>32</v>
      </c>
      <c r="D118" s="64"/>
    </row>
    <row r="119" spans="1:13" s="62" customFormat="1" ht="15.75" hidden="1" x14ac:dyDescent="0.25">
      <c r="A119" s="53" t="s">
        <v>85</v>
      </c>
      <c r="B119" s="71"/>
      <c r="C119" s="55" t="s">
        <v>32</v>
      </c>
      <c r="D119" s="56"/>
      <c r="I119" s="62">
        <v>0</v>
      </c>
      <c r="J119" s="62">
        <v>0</v>
      </c>
      <c r="L119" s="62">
        <v>0</v>
      </c>
      <c r="M119" s="62">
        <v>0</v>
      </c>
    </row>
    <row r="120" spans="1:13" s="62" customFormat="1" hidden="1" x14ac:dyDescent="0.2">
      <c r="A120" s="58"/>
      <c r="B120" s="59" t="s">
        <v>33</v>
      </c>
      <c r="C120" s="64"/>
      <c r="D120" s="64"/>
    </row>
    <row r="121" spans="1:13" s="62" customFormat="1" hidden="1" x14ac:dyDescent="0.2">
      <c r="A121" s="58"/>
      <c r="B121" s="59" t="s">
        <v>35</v>
      </c>
      <c r="C121" s="64" t="s">
        <v>32</v>
      </c>
      <c r="D121" s="64"/>
    </row>
    <row r="122" spans="1:13" s="62" customFormat="1" ht="15.75" hidden="1" x14ac:dyDescent="0.25">
      <c r="A122" s="53" t="s">
        <v>86</v>
      </c>
      <c r="B122" s="71"/>
      <c r="C122" s="55" t="s">
        <v>32</v>
      </c>
      <c r="D122" s="56"/>
      <c r="I122" s="62">
        <v>0</v>
      </c>
      <c r="J122" s="62">
        <v>0</v>
      </c>
      <c r="L122" s="62">
        <v>0</v>
      </c>
      <c r="M122" s="62">
        <v>0</v>
      </c>
    </row>
    <row r="123" spans="1:13" s="62" customFormat="1" hidden="1" x14ac:dyDescent="0.2">
      <c r="A123" s="58"/>
      <c r="B123" s="59" t="s">
        <v>33</v>
      </c>
      <c r="C123" s="64"/>
      <c r="D123" s="64"/>
    </row>
    <row r="124" spans="1:13" s="62" customFormat="1" hidden="1" x14ac:dyDescent="0.2">
      <c r="A124" s="58"/>
      <c r="B124" s="59" t="s">
        <v>35</v>
      </c>
      <c r="C124" s="64" t="s">
        <v>32</v>
      </c>
      <c r="D124" s="64"/>
    </row>
    <row r="125" spans="1:13" s="62" customFormat="1" ht="15.75" hidden="1" x14ac:dyDescent="0.25">
      <c r="A125" s="53" t="s">
        <v>87</v>
      </c>
      <c r="B125" s="71"/>
      <c r="C125" s="55" t="s">
        <v>32</v>
      </c>
      <c r="D125" s="56"/>
      <c r="I125" s="62">
        <v>0</v>
      </c>
      <c r="J125" s="62">
        <v>0</v>
      </c>
      <c r="L125" s="62">
        <v>0</v>
      </c>
      <c r="M125" s="62">
        <v>0</v>
      </c>
    </row>
    <row r="126" spans="1:13" s="62" customFormat="1" hidden="1" x14ac:dyDescent="0.2">
      <c r="A126" s="58"/>
      <c r="B126" s="59" t="s">
        <v>33</v>
      </c>
      <c r="C126" s="64"/>
      <c r="D126" s="64"/>
    </row>
    <row r="127" spans="1:13" s="62" customFormat="1" hidden="1" x14ac:dyDescent="0.2">
      <c r="A127" s="58"/>
      <c r="B127" s="59" t="s">
        <v>35</v>
      </c>
      <c r="C127" s="64" t="s">
        <v>32</v>
      </c>
      <c r="D127" s="64"/>
    </row>
    <row r="128" spans="1:13" s="62" customFormat="1" ht="15.75" hidden="1" x14ac:dyDescent="0.25">
      <c r="A128" s="53" t="s">
        <v>88</v>
      </c>
      <c r="B128" s="71"/>
      <c r="C128" s="55" t="s">
        <v>32</v>
      </c>
      <c r="D128" s="56"/>
      <c r="I128" s="62">
        <v>0</v>
      </c>
      <c r="J128" s="62">
        <v>0</v>
      </c>
      <c r="L128" s="62">
        <v>0</v>
      </c>
      <c r="M128" s="62">
        <v>0</v>
      </c>
    </row>
    <row r="129" spans="1:13" s="62" customFormat="1" hidden="1" x14ac:dyDescent="0.2">
      <c r="A129" s="58"/>
      <c r="B129" s="59" t="s">
        <v>33</v>
      </c>
      <c r="C129" s="64"/>
      <c r="D129" s="64"/>
    </row>
    <row r="130" spans="1:13" s="62" customFormat="1" hidden="1" x14ac:dyDescent="0.2">
      <c r="A130" s="58"/>
      <c r="B130" s="59" t="s">
        <v>35</v>
      </c>
      <c r="C130" s="64" t="s">
        <v>32</v>
      </c>
      <c r="D130" s="64"/>
    </row>
    <row r="131" spans="1:13" s="62" customFormat="1" ht="15.75" hidden="1" x14ac:dyDescent="0.25">
      <c r="A131" s="53" t="s">
        <v>89</v>
      </c>
      <c r="B131" s="71"/>
      <c r="C131" s="55" t="s">
        <v>32</v>
      </c>
      <c r="D131" s="56"/>
      <c r="I131" s="62">
        <v>0</v>
      </c>
      <c r="J131" s="62">
        <v>0</v>
      </c>
      <c r="L131" s="62">
        <v>0</v>
      </c>
      <c r="M131" s="62">
        <v>0</v>
      </c>
    </row>
    <row r="132" spans="1:13" s="62" customFormat="1" hidden="1" x14ac:dyDescent="0.2">
      <c r="A132" s="58"/>
      <c r="B132" s="59" t="s">
        <v>33</v>
      </c>
      <c r="C132" s="64"/>
      <c r="D132" s="64"/>
    </row>
    <row r="133" spans="1:13" s="62" customFormat="1" hidden="1" x14ac:dyDescent="0.2">
      <c r="A133" s="58"/>
      <c r="B133" s="59" t="s">
        <v>35</v>
      </c>
      <c r="C133" s="64" t="s">
        <v>32</v>
      </c>
      <c r="D133" s="64"/>
    </row>
    <row r="134" spans="1:13" s="62" customFormat="1" ht="15.75" hidden="1" x14ac:dyDescent="0.25">
      <c r="A134" s="53" t="s">
        <v>90</v>
      </c>
      <c r="B134" s="71"/>
      <c r="C134" s="55" t="s">
        <v>32</v>
      </c>
      <c r="D134" s="56"/>
      <c r="I134" s="62">
        <v>0</v>
      </c>
      <c r="J134" s="62">
        <v>0</v>
      </c>
      <c r="L134" s="62">
        <v>0</v>
      </c>
      <c r="M134" s="62">
        <v>0</v>
      </c>
    </row>
    <row r="135" spans="1:13" s="62" customFormat="1" hidden="1" x14ac:dyDescent="0.2">
      <c r="A135" s="58"/>
      <c r="B135" s="59" t="s">
        <v>33</v>
      </c>
      <c r="C135" s="64"/>
      <c r="D135" s="64"/>
    </row>
    <row r="136" spans="1:13" s="62" customFormat="1" hidden="1" x14ac:dyDescent="0.2">
      <c r="A136" s="58"/>
      <c r="B136" s="59" t="s">
        <v>35</v>
      </c>
      <c r="C136" s="64" t="s">
        <v>32</v>
      </c>
      <c r="D136" s="64"/>
    </row>
    <row r="137" spans="1:13" s="62" customFormat="1" ht="15.75" hidden="1" x14ac:dyDescent="0.25">
      <c r="A137" s="53" t="s">
        <v>91</v>
      </c>
      <c r="B137" s="71"/>
      <c r="C137" s="55" t="s">
        <v>32</v>
      </c>
      <c r="D137" s="56"/>
      <c r="I137" s="62">
        <v>0</v>
      </c>
      <c r="J137" s="62">
        <v>0</v>
      </c>
      <c r="L137" s="62">
        <v>0</v>
      </c>
      <c r="M137" s="62">
        <v>0</v>
      </c>
    </row>
    <row r="138" spans="1:13" s="62" customFormat="1" hidden="1" x14ac:dyDescent="0.2">
      <c r="A138" s="58"/>
      <c r="B138" s="59" t="s">
        <v>33</v>
      </c>
      <c r="C138" s="64"/>
      <c r="D138" s="64"/>
    </row>
    <row r="139" spans="1:13" s="62" customFormat="1" hidden="1" x14ac:dyDescent="0.2">
      <c r="A139" s="58"/>
      <c r="B139" s="59" t="s">
        <v>35</v>
      </c>
      <c r="C139" s="64" t="s">
        <v>32</v>
      </c>
      <c r="D139" s="64"/>
    </row>
    <row r="140" spans="1:13" s="62" customFormat="1" ht="15.75" hidden="1" x14ac:dyDescent="0.25">
      <c r="A140" s="53" t="s">
        <v>92</v>
      </c>
      <c r="B140" s="71"/>
      <c r="C140" s="55" t="s">
        <v>32</v>
      </c>
      <c r="D140" s="56"/>
      <c r="I140" s="62">
        <v>0</v>
      </c>
      <c r="J140" s="62">
        <v>0</v>
      </c>
      <c r="L140" s="62">
        <v>0</v>
      </c>
      <c r="M140" s="62">
        <v>0</v>
      </c>
    </row>
    <row r="141" spans="1:13" s="62" customFormat="1" hidden="1" x14ac:dyDescent="0.2">
      <c r="A141" s="58"/>
      <c r="B141" s="59" t="s">
        <v>33</v>
      </c>
      <c r="C141" s="64"/>
      <c r="D141" s="64"/>
    </row>
    <row r="142" spans="1:13" s="62" customFormat="1" hidden="1" x14ac:dyDescent="0.2">
      <c r="A142" s="58"/>
      <c r="B142" s="59" t="s">
        <v>35</v>
      </c>
      <c r="C142" s="64" t="s">
        <v>32</v>
      </c>
      <c r="D142" s="64"/>
    </row>
    <row r="143" spans="1:13" s="62" customFormat="1" ht="15.75" hidden="1" x14ac:dyDescent="0.25">
      <c r="A143" s="53" t="s">
        <v>93</v>
      </c>
      <c r="B143" s="71"/>
      <c r="C143" s="55" t="s">
        <v>32</v>
      </c>
      <c r="D143" s="56"/>
      <c r="I143" s="62">
        <v>0</v>
      </c>
      <c r="J143" s="62">
        <v>0</v>
      </c>
      <c r="L143" s="62">
        <v>0</v>
      </c>
      <c r="M143" s="62">
        <v>0</v>
      </c>
    </row>
    <row r="144" spans="1:13" s="62" customFormat="1" hidden="1" x14ac:dyDescent="0.2">
      <c r="A144" s="58"/>
      <c r="B144" s="59" t="s">
        <v>33</v>
      </c>
      <c r="C144" s="64"/>
      <c r="D144" s="64"/>
    </row>
    <row r="145" spans="1:13" s="62" customFormat="1" hidden="1" x14ac:dyDescent="0.2">
      <c r="A145" s="58"/>
      <c r="B145" s="59" t="s">
        <v>35</v>
      </c>
      <c r="C145" s="64" t="s">
        <v>32</v>
      </c>
      <c r="D145" s="64"/>
    </row>
    <row r="146" spans="1:13" s="62" customFormat="1" ht="15.75" hidden="1" x14ac:dyDescent="0.25">
      <c r="A146" s="53" t="s">
        <v>94</v>
      </c>
      <c r="B146" s="54"/>
      <c r="C146" s="55" t="s">
        <v>32</v>
      </c>
      <c r="D146" s="56"/>
      <c r="I146" s="62">
        <v>0</v>
      </c>
      <c r="J146" s="62">
        <v>0</v>
      </c>
      <c r="L146" s="62">
        <v>0</v>
      </c>
      <c r="M146" s="62">
        <v>0</v>
      </c>
    </row>
    <row r="147" spans="1:13" s="62" customFormat="1" hidden="1" x14ac:dyDescent="0.2">
      <c r="A147" s="58"/>
      <c r="B147" s="59" t="s">
        <v>33</v>
      </c>
      <c r="C147" s="64"/>
      <c r="D147" s="64"/>
    </row>
    <row r="148" spans="1:13" s="62" customFormat="1" hidden="1" x14ac:dyDescent="0.2">
      <c r="A148" s="58"/>
      <c r="B148" s="59" t="s">
        <v>35</v>
      </c>
      <c r="C148" s="64" t="s">
        <v>32</v>
      </c>
      <c r="D148" s="64"/>
    </row>
    <row r="149" spans="1:13" s="62" customFormat="1" ht="15.75" hidden="1" x14ac:dyDescent="0.25">
      <c r="A149" s="53" t="s">
        <v>95</v>
      </c>
      <c r="B149" s="68"/>
      <c r="C149" s="55" t="s">
        <v>32</v>
      </c>
      <c r="D149" s="56"/>
      <c r="I149" s="62">
        <v>0</v>
      </c>
      <c r="J149" s="62">
        <v>0</v>
      </c>
      <c r="L149" s="62">
        <v>0</v>
      </c>
      <c r="M149" s="62">
        <v>0</v>
      </c>
    </row>
    <row r="150" spans="1:13" s="62" customFormat="1" hidden="1" x14ac:dyDescent="0.2">
      <c r="A150" s="58"/>
      <c r="B150" s="59" t="s">
        <v>33</v>
      </c>
      <c r="C150" s="64"/>
      <c r="D150" s="64"/>
    </row>
    <row r="151" spans="1:13" s="62" customFormat="1" hidden="1" x14ac:dyDescent="0.2">
      <c r="A151" s="58"/>
      <c r="B151" s="59" t="s">
        <v>35</v>
      </c>
      <c r="C151" s="64" t="s">
        <v>32</v>
      </c>
      <c r="D151" s="64"/>
    </row>
    <row r="152" spans="1:13" s="62" customFormat="1" ht="15.75" hidden="1" x14ac:dyDescent="0.25">
      <c r="A152" s="53" t="s">
        <v>96</v>
      </c>
      <c r="B152" s="68"/>
      <c r="C152" s="55" t="s">
        <v>32</v>
      </c>
      <c r="D152" s="56"/>
      <c r="I152" s="62">
        <v>0</v>
      </c>
      <c r="J152" s="62">
        <v>0</v>
      </c>
      <c r="L152" s="62">
        <v>0</v>
      </c>
      <c r="M152" s="62">
        <v>0</v>
      </c>
    </row>
    <row r="153" spans="1:13" s="62" customFormat="1" hidden="1" x14ac:dyDescent="0.2">
      <c r="A153" s="58"/>
      <c r="B153" s="59" t="s">
        <v>33</v>
      </c>
      <c r="C153" s="64"/>
      <c r="D153" s="64"/>
    </row>
    <row r="154" spans="1:13" s="62" customFormat="1" hidden="1" x14ac:dyDescent="0.2">
      <c r="A154" s="58"/>
      <c r="B154" s="59" t="s">
        <v>35</v>
      </c>
      <c r="C154" s="64" t="s">
        <v>32</v>
      </c>
      <c r="D154" s="64"/>
    </row>
    <row r="155" spans="1:13" s="62" customFormat="1" ht="15.75" hidden="1" x14ac:dyDescent="0.25">
      <c r="A155" s="53" t="s">
        <v>97</v>
      </c>
      <c r="B155" s="71"/>
      <c r="C155" s="55" t="s">
        <v>32</v>
      </c>
      <c r="D155" s="56"/>
      <c r="I155" s="62">
        <v>0</v>
      </c>
      <c r="J155" s="62">
        <v>0</v>
      </c>
      <c r="L155" s="62">
        <v>0</v>
      </c>
      <c r="M155" s="62">
        <v>0</v>
      </c>
    </row>
    <row r="156" spans="1:13" s="62" customFormat="1" hidden="1" x14ac:dyDescent="0.2">
      <c r="A156" s="58"/>
      <c r="B156" s="59" t="s">
        <v>33</v>
      </c>
      <c r="C156" s="64"/>
      <c r="D156" s="64"/>
    </row>
    <row r="157" spans="1:13" s="62" customFormat="1" hidden="1" x14ac:dyDescent="0.2">
      <c r="A157" s="58"/>
      <c r="B157" s="59" t="s">
        <v>35</v>
      </c>
      <c r="C157" s="64" t="s">
        <v>32</v>
      </c>
      <c r="D157" s="64"/>
    </row>
    <row r="158" spans="1:13" s="62" customFormat="1" ht="15.75" hidden="1" x14ac:dyDescent="0.25">
      <c r="A158" s="53" t="s">
        <v>98</v>
      </c>
      <c r="B158" s="71"/>
      <c r="C158" s="55" t="s">
        <v>32</v>
      </c>
      <c r="D158" s="56"/>
      <c r="I158" s="62">
        <v>0</v>
      </c>
      <c r="J158" s="62">
        <v>0</v>
      </c>
      <c r="L158" s="62">
        <v>0</v>
      </c>
      <c r="M158" s="62">
        <v>0</v>
      </c>
    </row>
    <row r="159" spans="1:13" s="62" customFormat="1" hidden="1" x14ac:dyDescent="0.2">
      <c r="A159" s="58"/>
      <c r="B159" s="59" t="s">
        <v>33</v>
      </c>
      <c r="C159" s="64"/>
      <c r="D159" s="64"/>
    </row>
    <row r="160" spans="1:13" s="62" customFormat="1" hidden="1" x14ac:dyDescent="0.2">
      <c r="A160" s="58"/>
      <c r="B160" s="59" t="s">
        <v>35</v>
      </c>
      <c r="C160" s="64" t="s">
        <v>32</v>
      </c>
      <c r="D160" s="64"/>
    </row>
    <row r="161" spans="1:13" s="62" customFormat="1" ht="15.75" hidden="1" x14ac:dyDescent="0.25">
      <c r="A161" s="53" t="s">
        <v>99</v>
      </c>
      <c r="B161" s="73"/>
      <c r="C161" s="55" t="s">
        <v>32</v>
      </c>
      <c r="D161" s="56"/>
      <c r="I161" s="62">
        <v>0</v>
      </c>
      <c r="J161" s="62">
        <v>0</v>
      </c>
      <c r="L161" s="62">
        <v>0</v>
      </c>
      <c r="M161" s="62">
        <v>0</v>
      </c>
    </row>
    <row r="162" spans="1:13" s="62" customFormat="1" hidden="1" x14ac:dyDescent="0.2">
      <c r="A162" s="58"/>
      <c r="B162" s="59" t="s">
        <v>33</v>
      </c>
      <c r="C162" s="64"/>
      <c r="D162" s="64"/>
    </row>
    <row r="163" spans="1:13" s="62" customFormat="1" hidden="1" x14ac:dyDescent="0.2">
      <c r="A163" s="58"/>
      <c r="B163" s="59" t="s">
        <v>35</v>
      </c>
      <c r="C163" s="64" t="s">
        <v>32</v>
      </c>
      <c r="D163" s="64"/>
    </row>
    <row r="164" spans="1:13" s="62" customFormat="1" ht="15.75" hidden="1" x14ac:dyDescent="0.25">
      <c r="A164" s="53" t="s">
        <v>100</v>
      </c>
      <c r="B164" s="71"/>
      <c r="C164" s="55" t="s">
        <v>32</v>
      </c>
      <c r="D164" s="56"/>
      <c r="I164" s="62">
        <v>0</v>
      </c>
      <c r="J164" s="62">
        <v>0</v>
      </c>
      <c r="L164" s="62">
        <v>0</v>
      </c>
      <c r="M164" s="62">
        <v>0</v>
      </c>
    </row>
    <row r="165" spans="1:13" s="62" customFormat="1" hidden="1" x14ac:dyDescent="0.2">
      <c r="A165" s="58"/>
      <c r="B165" s="59" t="s">
        <v>33</v>
      </c>
      <c r="C165" s="64"/>
      <c r="D165" s="64"/>
    </row>
    <row r="166" spans="1:13" s="62" customFormat="1" hidden="1" x14ac:dyDescent="0.2">
      <c r="A166" s="58"/>
      <c r="B166" s="59" t="s">
        <v>35</v>
      </c>
      <c r="C166" s="64" t="s">
        <v>32</v>
      </c>
      <c r="D166" s="64"/>
    </row>
    <row r="167" spans="1:13" s="62" customFormat="1" ht="15.75" hidden="1" x14ac:dyDescent="0.25">
      <c r="A167" s="53" t="s">
        <v>101</v>
      </c>
      <c r="B167" s="71"/>
      <c r="C167" s="55" t="s">
        <v>32</v>
      </c>
      <c r="D167" s="56"/>
      <c r="I167" s="62">
        <v>0</v>
      </c>
      <c r="J167" s="62">
        <v>0</v>
      </c>
      <c r="L167" s="62">
        <v>0</v>
      </c>
      <c r="M167" s="62">
        <v>0</v>
      </c>
    </row>
    <row r="168" spans="1:13" s="62" customFormat="1" hidden="1" x14ac:dyDescent="0.2">
      <c r="A168" s="58"/>
      <c r="B168" s="59" t="s">
        <v>33</v>
      </c>
      <c r="C168" s="64"/>
      <c r="D168" s="64"/>
    </row>
    <row r="169" spans="1:13" s="62" customFormat="1" hidden="1" x14ac:dyDescent="0.2">
      <c r="A169" s="58"/>
      <c r="B169" s="59" t="s">
        <v>35</v>
      </c>
      <c r="C169" s="64" t="s">
        <v>32</v>
      </c>
      <c r="D169" s="64"/>
    </row>
    <row r="170" spans="1:13" s="62" customFormat="1" ht="15.75" hidden="1" x14ac:dyDescent="0.25">
      <c r="A170" s="53" t="s">
        <v>102</v>
      </c>
      <c r="B170" s="71"/>
      <c r="C170" s="55" t="s">
        <v>32</v>
      </c>
      <c r="D170" s="56"/>
      <c r="I170" s="62">
        <v>0</v>
      </c>
      <c r="J170" s="62">
        <v>0</v>
      </c>
      <c r="L170" s="62">
        <v>0</v>
      </c>
      <c r="M170" s="62">
        <v>0</v>
      </c>
    </row>
    <row r="171" spans="1:13" s="62" customFormat="1" hidden="1" x14ac:dyDescent="0.2">
      <c r="A171" s="58"/>
      <c r="B171" s="59" t="s">
        <v>33</v>
      </c>
      <c r="C171" s="64"/>
      <c r="D171" s="64"/>
    </row>
    <row r="172" spans="1:13" s="62" customFormat="1" hidden="1" x14ac:dyDescent="0.2">
      <c r="A172" s="58"/>
      <c r="B172" s="59" t="s">
        <v>35</v>
      </c>
      <c r="C172" s="64" t="s">
        <v>32</v>
      </c>
      <c r="D172" s="64"/>
    </row>
    <row r="173" spans="1:13" s="62" customFormat="1" ht="15.75" hidden="1" x14ac:dyDescent="0.25">
      <c r="A173" s="53" t="s">
        <v>103</v>
      </c>
      <c r="B173" s="71"/>
      <c r="C173" s="55" t="s">
        <v>32</v>
      </c>
      <c r="D173" s="56"/>
      <c r="I173" s="62">
        <v>0</v>
      </c>
      <c r="J173" s="62">
        <v>0</v>
      </c>
      <c r="L173" s="62">
        <v>0</v>
      </c>
      <c r="M173" s="62">
        <v>0</v>
      </c>
    </row>
    <row r="174" spans="1:13" s="62" customFormat="1" hidden="1" x14ac:dyDescent="0.2">
      <c r="A174" s="58"/>
      <c r="B174" s="59" t="s">
        <v>33</v>
      </c>
      <c r="C174" s="64"/>
      <c r="D174" s="64"/>
    </row>
    <row r="175" spans="1:13" s="62" customFormat="1" hidden="1" x14ac:dyDescent="0.2">
      <c r="A175" s="58"/>
      <c r="B175" s="59" t="s">
        <v>35</v>
      </c>
      <c r="C175" s="64" t="s">
        <v>32</v>
      </c>
      <c r="D175" s="64"/>
    </row>
    <row r="176" spans="1:13" s="62" customFormat="1" ht="15.75" hidden="1" x14ac:dyDescent="0.25">
      <c r="A176" s="53" t="s">
        <v>104</v>
      </c>
      <c r="B176" s="70"/>
      <c r="C176" s="55" t="s">
        <v>32</v>
      </c>
      <c r="D176" s="56"/>
      <c r="I176" s="62">
        <v>0</v>
      </c>
      <c r="J176" s="62">
        <v>0</v>
      </c>
      <c r="L176" s="62">
        <v>0</v>
      </c>
      <c r="M176" s="62">
        <v>0</v>
      </c>
    </row>
    <row r="177" spans="1:13" s="62" customFormat="1" hidden="1" x14ac:dyDescent="0.2">
      <c r="A177" s="58"/>
      <c r="B177" s="59" t="s">
        <v>33</v>
      </c>
      <c r="C177" s="64"/>
      <c r="D177" s="64"/>
    </row>
    <row r="178" spans="1:13" s="62" customFormat="1" hidden="1" x14ac:dyDescent="0.2">
      <c r="A178" s="58"/>
      <c r="B178" s="59" t="s">
        <v>35</v>
      </c>
      <c r="C178" s="64" t="s">
        <v>32</v>
      </c>
      <c r="D178" s="64"/>
    </row>
    <row r="179" spans="1:13" s="62" customFormat="1" ht="15.75" hidden="1" x14ac:dyDescent="0.25">
      <c r="A179" s="53" t="s">
        <v>105</v>
      </c>
      <c r="B179" s="74"/>
      <c r="C179" s="55" t="s">
        <v>32</v>
      </c>
      <c r="D179" s="56"/>
      <c r="I179" s="62">
        <v>0</v>
      </c>
      <c r="J179" s="62">
        <v>0</v>
      </c>
      <c r="L179" s="62">
        <v>0</v>
      </c>
      <c r="M179" s="62">
        <v>0</v>
      </c>
    </row>
    <row r="180" spans="1:13" s="62" customFormat="1" hidden="1" x14ac:dyDescent="0.2">
      <c r="A180" s="58"/>
      <c r="B180" s="59" t="s">
        <v>33</v>
      </c>
      <c r="C180" s="75"/>
      <c r="D180" s="64"/>
    </row>
    <row r="181" spans="1:13" s="62" customFormat="1" hidden="1" x14ac:dyDescent="0.2">
      <c r="A181" s="58"/>
      <c r="B181" s="59" t="s">
        <v>35</v>
      </c>
      <c r="C181" s="64" t="s">
        <v>32</v>
      </c>
      <c r="D181" s="64"/>
    </row>
    <row r="182" spans="1:13" s="62" customFormat="1" ht="15.75" hidden="1" x14ac:dyDescent="0.25">
      <c r="A182" s="53" t="s">
        <v>106</v>
      </c>
      <c r="B182" s="76"/>
      <c r="C182" s="55" t="s">
        <v>32</v>
      </c>
      <c r="D182" s="56"/>
      <c r="I182" s="62">
        <v>0</v>
      </c>
      <c r="J182" s="62">
        <v>0</v>
      </c>
      <c r="L182" s="62">
        <v>0</v>
      </c>
      <c r="M182" s="62">
        <v>0</v>
      </c>
    </row>
    <row r="183" spans="1:13" s="62" customFormat="1" hidden="1" x14ac:dyDescent="0.2">
      <c r="A183" s="58"/>
      <c r="B183" s="59" t="s">
        <v>33</v>
      </c>
      <c r="C183" s="64"/>
      <c r="D183" s="64"/>
    </row>
    <row r="184" spans="1:13" s="62" customFormat="1" hidden="1" x14ac:dyDescent="0.2">
      <c r="A184" s="58"/>
      <c r="B184" s="59" t="s">
        <v>35</v>
      </c>
      <c r="C184" s="64" t="s">
        <v>32</v>
      </c>
      <c r="D184" s="64"/>
    </row>
    <row r="185" spans="1:13" s="62" customFormat="1" ht="15.75" hidden="1" x14ac:dyDescent="0.25">
      <c r="A185" s="53" t="s">
        <v>107</v>
      </c>
      <c r="B185" s="76"/>
      <c r="C185" s="55" t="s">
        <v>32</v>
      </c>
      <c r="D185" s="56"/>
      <c r="I185" s="62">
        <v>0</v>
      </c>
      <c r="J185" s="62">
        <v>0</v>
      </c>
      <c r="L185" s="62">
        <v>0</v>
      </c>
      <c r="M185" s="62">
        <v>0</v>
      </c>
    </row>
    <row r="186" spans="1:13" s="62" customFormat="1" hidden="1" x14ac:dyDescent="0.2">
      <c r="A186" s="58"/>
      <c r="B186" s="59" t="s">
        <v>33</v>
      </c>
      <c r="C186" s="64"/>
      <c r="D186" s="64"/>
    </row>
    <row r="187" spans="1:13" s="62" customFormat="1" hidden="1" x14ac:dyDescent="0.2">
      <c r="A187" s="58"/>
      <c r="B187" s="59" t="s">
        <v>35</v>
      </c>
      <c r="C187" s="64" t="s">
        <v>32</v>
      </c>
      <c r="D187" s="64"/>
    </row>
    <row r="188" spans="1:13" s="62" customFormat="1" ht="15.75" hidden="1" x14ac:dyDescent="0.25">
      <c r="A188" s="53" t="s">
        <v>108</v>
      </c>
      <c r="B188" s="77"/>
      <c r="C188" s="55" t="s">
        <v>32</v>
      </c>
      <c r="D188" s="56"/>
      <c r="I188" s="62">
        <v>0</v>
      </c>
      <c r="J188" s="62">
        <v>0</v>
      </c>
      <c r="L188" s="62">
        <v>0</v>
      </c>
      <c r="M188" s="62">
        <v>0</v>
      </c>
    </row>
    <row r="189" spans="1:13" s="62" customFormat="1" hidden="1" x14ac:dyDescent="0.2">
      <c r="A189" s="58"/>
      <c r="B189" s="59" t="s">
        <v>33</v>
      </c>
      <c r="C189" s="64"/>
      <c r="D189" s="64"/>
    </row>
    <row r="190" spans="1:13" s="62" customFormat="1" hidden="1" x14ac:dyDescent="0.2">
      <c r="A190" s="58"/>
      <c r="B190" s="59" t="s">
        <v>35</v>
      </c>
      <c r="C190" s="64" t="s">
        <v>32</v>
      </c>
      <c r="D190" s="64"/>
    </row>
    <row r="191" spans="1:13" s="62" customFormat="1" ht="15.75" hidden="1" x14ac:dyDescent="0.25">
      <c r="A191" s="53" t="s">
        <v>109</v>
      </c>
      <c r="B191" s="77"/>
      <c r="C191" s="55" t="s">
        <v>32</v>
      </c>
      <c r="D191" s="56"/>
      <c r="I191" s="62">
        <v>0</v>
      </c>
      <c r="J191" s="62">
        <v>0</v>
      </c>
      <c r="L191" s="62">
        <v>0</v>
      </c>
      <c r="M191" s="62">
        <v>0</v>
      </c>
    </row>
    <row r="192" spans="1:13" s="62" customFormat="1" hidden="1" x14ac:dyDescent="0.2">
      <c r="A192" s="58"/>
      <c r="B192" s="59" t="s">
        <v>33</v>
      </c>
      <c r="C192" s="64"/>
      <c r="D192" s="64"/>
    </row>
    <row r="193" spans="1:13" s="62" customFormat="1" hidden="1" x14ac:dyDescent="0.2">
      <c r="A193" s="58"/>
      <c r="B193" s="59" t="s">
        <v>35</v>
      </c>
      <c r="C193" s="64" t="s">
        <v>32</v>
      </c>
      <c r="D193" s="64"/>
    </row>
    <row r="194" spans="1:13" s="62" customFormat="1" ht="15.75" hidden="1" x14ac:dyDescent="0.25">
      <c r="A194" s="53" t="s">
        <v>110</v>
      </c>
      <c r="B194" s="77"/>
      <c r="C194" s="55" t="s">
        <v>32</v>
      </c>
      <c r="D194" s="56"/>
      <c r="I194" s="62">
        <v>0</v>
      </c>
      <c r="J194" s="62">
        <v>0</v>
      </c>
      <c r="L194" s="62">
        <v>0</v>
      </c>
      <c r="M194" s="62">
        <v>0</v>
      </c>
    </row>
    <row r="195" spans="1:13" s="62" customFormat="1" hidden="1" x14ac:dyDescent="0.2">
      <c r="A195" s="58"/>
      <c r="B195" s="59" t="s">
        <v>33</v>
      </c>
      <c r="C195" s="64"/>
      <c r="D195" s="64"/>
    </row>
    <row r="196" spans="1:13" s="62" customFormat="1" hidden="1" x14ac:dyDescent="0.2">
      <c r="A196" s="58"/>
      <c r="B196" s="59" t="s">
        <v>35</v>
      </c>
      <c r="C196" s="64" t="s">
        <v>32</v>
      </c>
      <c r="D196" s="64"/>
    </row>
    <row r="197" spans="1:13" s="62" customFormat="1" ht="15.75" hidden="1" x14ac:dyDescent="0.25">
      <c r="A197" s="53" t="s">
        <v>111</v>
      </c>
      <c r="B197" s="77"/>
      <c r="C197" s="55" t="s">
        <v>32</v>
      </c>
      <c r="D197" s="56"/>
      <c r="I197" s="62">
        <v>0</v>
      </c>
      <c r="J197" s="62">
        <v>0</v>
      </c>
      <c r="L197" s="62">
        <v>0</v>
      </c>
      <c r="M197" s="62">
        <v>0</v>
      </c>
    </row>
    <row r="198" spans="1:13" s="62" customFormat="1" hidden="1" x14ac:dyDescent="0.2">
      <c r="A198" s="58"/>
      <c r="B198" s="59" t="s">
        <v>33</v>
      </c>
      <c r="C198" s="64"/>
      <c r="D198" s="64"/>
    </row>
    <row r="199" spans="1:13" s="62" customFormat="1" hidden="1" x14ac:dyDescent="0.2">
      <c r="A199" s="58"/>
      <c r="B199" s="59" t="s">
        <v>35</v>
      </c>
      <c r="C199" s="64" t="s">
        <v>32</v>
      </c>
      <c r="D199" s="64"/>
    </row>
    <row r="200" spans="1:13" s="62" customFormat="1" ht="15.75" hidden="1" x14ac:dyDescent="0.25">
      <c r="A200" s="53" t="s">
        <v>112</v>
      </c>
      <c r="B200" s="76"/>
      <c r="C200" s="55" t="s">
        <v>32</v>
      </c>
      <c r="D200" s="56"/>
      <c r="I200" s="62">
        <v>0</v>
      </c>
      <c r="J200" s="62">
        <v>0</v>
      </c>
      <c r="L200" s="62">
        <v>0</v>
      </c>
      <c r="M200" s="62">
        <v>0</v>
      </c>
    </row>
    <row r="201" spans="1:13" s="62" customFormat="1" hidden="1" x14ac:dyDescent="0.2">
      <c r="A201" s="58"/>
      <c r="B201" s="59" t="s">
        <v>33</v>
      </c>
      <c r="C201" s="64"/>
      <c r="D201" s="64"/>
    </row>
    <row r="202" spans="1:13" s="62" customFormat="1" hidden="1" x14ac:dyDescent="0.2">
      <c r="A202" s="58"/>
      <c r="B202" s="59" t="s">
        <v>35</v>
      </c>
      <c r="C202" s="64" t="s">
        <v>32</v>
      </c>
      <c r="D202" s="64"/>
    </row>
    <row r="203" spans="1:13" s="62" customFormat="1" ht="15.75" hidden="1" x14ac:dyDescent="0.25">
      <c r="A203" s="53" t="s">
        <v>113</v>
      </c>
      <c r="B203" s="70"/>
      <c r="C203" s="55" t="s">
        <v>32</v>
      </c>
      <c r="D203" s="56"/>
      <c r="I203" s="62">
        <v>0</v>
      </c>
      <c r="J203" s="62">
        <v>0</v>
      </c>
      <c r="L203" s="62">
        <v>0</v>
      </c>
      <c r="M203" s="62">
        <v>0</v>
      </c>
    </row>
    <row r="204" spans="1:13" s="62" customFormat="1" hidden="1" x14ac:dyDescent="0.2">
      <c r="A204" s="58"/>
      <c r="B204" s="59" t="s">
        <v>33</v>
      </c>
      <c r="C204" s="64"/>
      <c r="D204" s="64"/>
    </row>
    <row r="205" spans="1:13" s="62" customFormat="1" hidden="1" x14ac:dyDescent="0.2">
      <c r="A205" s="58"/>
      <c r="B205" s="59" t="s">
        <v>35</v>
      </c>
      <c r="C205" s="64" t="s">
        <v>32</v>
      </c>
      <c r="D205" s="64"/>
    </row>
    <row r="206" spans="1:13" s="62" customFormat="1" ht="15.75" hidden="1" x14ac:dyDescent="0.25">
      <c r="A206" s="53" t="s">
        <v>114</v>
      </c>
      <c r="B206" s="73"/>
      <c r="C206" s="55" t="s">
        <v>32</v>
      </c>
      <c r="D206" s="56"/>
      <c r="I206" s="62">
        <v>0</v>
      </c>
      <c r="J206" s="62">
        <v>0</v>
      </c>
      <c r="L206" s="62">
        <v>0</v>
      </c>
      <c r="M206" s="62">
        <v>0</v>
      </c>
    </row>
    <row r="207" spans="1:13" s="62" customFormat="1" hidden="1" x14ac:dyDescent="0.2">
      <c r="A207" s="58"/>
      <c r="B207" s="59" t="s">
        <v>33</v>
      </c>
      <c r="C207" s="64"/>
      <c r="D207" s="64"/>
    </row>
    <row r="208" spans="1:13" s="62" customFormat="1" hidden="1" x14ac:dyDescent="0.2">
      <c r="A208" s="58"/>
      <c r="B208" s="59" t="s">
        <v>35</v>
      </c>
      <c r="C208" s="64" t="s">
        <v>32</v>
      </c>
      <c r="D208" s="64"/>
    </row>
    <row r="209" spans="1:13" s="62" customFormat="1" ht="15.75" hidden="1" x14ac:dyDescent="0.25">
      <c r="A209" s="53" t="s">
        <v>115</v>
      </c>
      <c r="B209" s="73"/>
      <c r="C209" s="55" t="s">
        <v>32</v>
      </c>
      <c r="D209" s="56"/>
      <c r="I209" s="62">
        <v>0</v>
      </c>
      <c r="J209" s="62">
        <v>0</v>
      </c>
      <c r="L209" s="62">
        <v>0</v>
      </c>
      <c r="M209" s="62">
        <v>0</v>
      </c>
    </row>
    <row r="210" spans="1:13" s="62" customFormat="1" hidden="1" x14ac:dyDescent="0.2">
      <c r="A210" s="58"/>
      <c r="B210" s="59" t="s">
        <v>33</v>
      </c>
      <c r="C210" s="64"/>
      <c r="D210" s="64"/>
    </row>
    <row r="211" spans="1:13" s="62" customFormat="1" hidden="1" x14ac:dyDescent="0.2">
      <c r="A211" s="58"/>
      <c r="B211" s="59" t="s">
        <v>35</v>
      </c>
      <c r="C211" s="64" t="s">
        <v>32</v>
      </c>
      <c r="D211" s="64"/>
    </row>
    <row r="212" spans="1:13" s="62" customFormat="1" ht="15.75" hidden="1" x14ac:dyDescent="0.25">
      <c r="A212" s="53" t="s">
        <v>116</v>
      </c>
      <c r="B212" s="73"/>
      <c r="C212" s="55" t="s">
        <v>32</v>
      </c>
      <c r="D212" s="56"/>
      <c r="I212" s="62">
        <v>0</v>
      </c>
      <c r="J212" s="62">
        <v>0</v>
      </c>
      <c r="L212" s="62">
        <v>0</v>
      </c>
      <c r="M212" s="62">
        <v>0</v>
      </c>
    </row>
    <row r="213" spans="1:13" s="62" customFormat="1" hidden="1" x14ac:dyDescent="0.2">
      <c r="A213" s="58"/>
      <c r="B213" s="59" t="s">
        <v>33</v>
      </c>
      <c r="C213" s="64"/>
      <c r="D213" s="64"/>
    </row>
    <row r="214" spans="1:13" s="62" customFormat="1" hidden="1" x14ac:dyDescent="0.2">
      <c r="A214" s="58"/>
      <c r="B214" s="59" t="s">
        <v>35</v>
      </c>
      <c r="C214" s="64" t="s">
        <v>32</v>
      </c>
      <c r="D214" s="64"/>
    </row>
    <row r="215" spans="1:13" s="62" customFormat="1" ht="15.75" hidden="1" x14ac:dyDescent="0.25">
      <c r="A215" s="53" t="s">
        <v>117</v>
      </c>
      <c r="B215" s="73"/>
      <c r="C215" s="55" t="s">
        <v>32</v>
      </c>
      <c r="D215" s="56"/>
      <c r="I215" s="62">
        <v>0</v>
      </c>
      <c r="J215" s="62">
        <v>0</v>
      </c>
      <c r="L215" s="62">
        <v>0</v>
      </c>
      <c r="M215" s="62">
        <v>0</v>
      </c>
    </row>
    <row r="216" spans="1:13" s="62" customFormat="1" hidden="1" x14ac:dyDescent="0.2">
      <c r="A216" s="58"/>
      <c r="B216" s="59" t="s">
        <v>33</v>
      </c>
      <c r="C216" s="64"/>
      <c r="D216" s="64"/>
    </row>
    <row r="217" spans="1:13" s="62" customFormat="1" hidden="1" x14ac:dyDescent="0.2">
      <c r="A217" s="58"/>
      <c r="B217" s="59" t="s">
        <v>35</v>
      </c>
      <c r="C217" s="64" t="s">
        <v>32</v>
      </c>
      <c r="D217" s="64"/>
    </row>
    <row r="218" spans="1:13" s="62" customFormat="1" ht="15.75" hidden="1" x14ac:dyDescent="0.25">
      <c r="A218" s="53" t="s">
        <v>118</v>
      </c>
      <c r="B218" s="73"/>
      <c r="C218" s="55" t="s">
        <v>32</v>
      </c>
      <c r="D218" s="56"/>
      <c r="I218" s="62">
        <v>0</v>
      </c>
      <c r="J218" s="62">
        <v>0</v>
      </c>
      <c r="L218" s="62">
        <v>0</v>
      </c>
      <c r="M218" s="62">
        <v>0</v>
      </c>
    </row>
    <row r="219" spans="1:13" s="62" customFormat="1" hidden="1" x14ac:dyDescent="0.2">
      <c r="A219" s="58"/>
      <c r="B219" s="59" t="s">
        <v>33</v>
      </c>
      <c r="C219" s="64"/>
      <c r="D219" s="64"/>
    </row>
    <row r="220" spans="1:13" s="62" customFormat="1" hidden="1" x14ac:dyDescent="0.2">
      <c r="A220" s="58"/>
      <c r="B220" s="59" t="s">
        <v>35</v>
      </c>
      <c r="C220" s="64" t="s">
        <v>32</v>
      </c>
      <c r="D220" s="64"/>
    </row>
    <row r="221" spans="1:13" s="62" customFormat="1" ht="15.75" hidden="1" x14ac:dyDescent="0.25">
      <c r="A221" s="53" t="s">
        <v>119</v>
      </c>
      <c r="B221" s="73"/>
      <c r="C221" s="55" t="s">
        <v>32</v>
      </c>
      <c r="D221" s="56"/>
      <c r="I221" s="62">
        <v>0</v>
      </c>
      <c r="J221" s="62">
        <v>0</v>
      </c>
      <c r="L221" s="62">
        <v>0</v>
      </c>
      <c r="M221" s="62">
        <v>0</v>
      </c>
    </row>
    <row r="222" spans="1:13" s="62" customFormat="1" hidden="1" x14ac:dyDescent="0.2">
      <c r="A222" s="58"/>
      <c r="B222" s="59" t="s">
        <v>33</v>
      </c>
      <c r="C222" s="64"/>
      <c r="D222" s="64"/>
    </row>
    <row r="223" spans="1:13" s="62" customFormat="1" hidden="1" x14ac:dyDescent="0.2">
      <c r="A223" s="58"/>
      <c r="B223" s="59" t="s">
        <v>35</v>
      </c>
      <c r="C223" s="64" t="s">
        <v>32</v>
      </c>
      <c r="D223" s="64"/>
    </row>
    <row r="224" spans="1:13" s="62" customFormat="1" ht="15.75" hidden="1" x14ac:dyDescent="0.25">
      <c r="A224" s="53" t="s">
        <v>120</v>
      </c>
      <c r="B224" s="73"/>
      <c r="C224" s="55" t="s">
        <v>32</v>
      </c>
      <c r="D224" s="56"/>
      <c r="I224" s="62">
        <v>0</v>
      </c>
      <c r="J224" s="62">
        <v>0</v>
      </c>
      <c r="L224" s="62">
        <v>0</v>
      </c>
      <c r="M224" s="62">
        <v>0</v>
      </c>
    </row>
    <row r="225" spans="1:13" s="62" customFormat="1" hidden="1" x14ac:dyDescent="0.2">
      <c r="A225" s="58"/>
      <c r="B225" s="59" t="s">
        <v>33</v>
      </c>
      <c r="C225" s="64"/>
      <c r="D225" s="64"/>
    </row>
    <row r="226" spans="1:13" s="62" customFormat="1" hidden="1" x14ac:dyDescent="0.2">
      <c r="A226" s="58"/>
      <c r="B226" s="59" t="s">
        <v>35</v>
      </c>
      <c r="C226" s="64" t="s">
        <v>32</v>
      </c>
      <c r="D226" s="64"/>
    </row>
    <row r="227" spans="1:13" s="62" customFormat="1" ht="15.75" hidden="1" x14ac:dyDescent="0.25">
      <c r="A227" s="53" t="s">
        <v>121</v>
      </c>
      <c r="B227" s="73"/>
      <c r="C227" s="55" t="s">
        <v>32</v>
      </c>
      <c r="D227" s="56"/>
      <c r="I227" s="62">
        <v>0</v>
      </c>
      <c r="J227" s="62">
        <v>0</v>
      </c>
      <c r="L227" s="62">
        <v>0</v>
      </c>
      <c r="M227" s="62">
        <v>0</v>
      </c>
    </row>
    <row r="228" spans="1:13" s="62" customFormat="1" hidden="1" x14ac:dyDescent="0.2">
      <c r="A228" s="58"/>
      <c r="B228" s="59" t="s">
        <v>33</v>
      </c>
      <c r="C228" s="64"/>
      <c r="D228" s="64"/>
    </row>
    <row r="229" spans="1:13" s="62" customFormat="1" hidden="1" x14ac:dyDescent="0.2">
      <c r="A229" s="58"/>
      <c r="B229" s="59" t="s">
        <v>35</v>
      </c>
      <c r="C229" s="64" t="s">
        <v>32</v>
      </c>
      <c r="D229" s="64"/>
    </row>
    <row r="230" spans="1:13" s="62" customFormat="1" ht="15.75" hidden="1" x14ac:dyDescent="0.25">
      <c r="A230" s="53" t="s">
        <v>122</v>
      </c>
      <c r="B230" s="73"/>
      <c r="C230" s="55" t="s">
        <v>32</v>
      </c>
      <c r="D230" s="56"/>
      <c r="I230" s="62">
        <v>0</v>
      </c>
      <c r="J230" s="62">
        <v>0</v>
      </c>
      <c r="L230" s="62">
        <v>0</v>
      </c>
      <c r="M230" s="62">
        <v>0</v>
      </c>
    </row>
    <row r="231" spans="1:13" s="62" customFormat="1" hidden="1" x14ac:dyDescent="0.2">
      <c r="A231" s="58"/>
      <c r="B231" s="59" t="s">
        <v>33</v>
      </c>
      <c r="C231" s="64"/>
      <c r="D231" s="64"/>
    </row>
    <row r="232" spans="1:13" s="62" customFormat="1" hidden="1" x14ac:dyDescent="0.2">
      <c r="A232" s="58"/>
      <c r="B232" s="59" t="s">
        <v>35</v>
      </c>
      <c r="C232" s="64" t="s">
        <v>32</v>
      </c>
      <c r="D232" s="64"/>
    </row>
    <row r="233" spans="1:13" s="62" customFormat="1" ht="15.75" hidden="1" x14ac:dyDescent="0.25">
      <c r="A233" s="53" t="s">
        <v>123</v>
      </c>
      <c r="B233" s="73"/>
      <c r="C233" s="55" t="s">
        <v>32</v>
      </c>
      <c r="D233" s="56"/>
      <c r="I233" s="62">
        <v>0</v>
      </c>
      <c r="J233" s="62">
        <v>0</v>
      </c>
      <c r="L233" s="62">
        <v>0</v>
      </c>
      <c r="M233" s="62">
        <v>0</v>
      </c>
    </row>
    <row r="234" spans="1:13" s="62" customFormat="1" hidden="1" x14ac:dyDescent="0.2">
      <c r="A234" s="58"/>
      <c r="B234" s="59" t="s">
        <v>33</v>
      </c>
      <c r="C234" s="64"/>
      <c r="D234" s="64"/>
    </row>
    <row r="235" spans="1:13" s="62" customFormat="1" hidden="1" x14ac:dyDescent="0.2">
      <c r="A235" s="58"/>
      <c r="B235" s="59" t="s">
        <v>35</v>
      </c>
      <c r="C235" s="64" t="s">
        <v>32</v>
      </c>
      <c r="D235" s="64"/>
    </row>
    <row r="236" spans="1:13" s="62" customFormat="1" ht="15.75" hidden="1" x14ac:dyDescent="0.25">
      <c r="A236" s="53" t="s">
        <v>124</v>
      </c>
      <c r="B236" s="78"/>
      <c r="C236" s="55" t="s">
        <v>32</v>
      </c>
      <c r="D236" s="56"/>
      <c r="I236" s="62">
        <v>0</v>
      </c>
      <c r="J236" s="62">
        <v>0</v>
      </c>
      <c r="L236" s="62">
        <v>0</v>
      </c>
      <c r="M236" s="62">
        <v>0</v>
      </c>
    </row>
    <row r="237" spans="1:13" s="62" customFormat="1" hidden="1" x14ac:dyDescent="0.2">
      <c r="A237" s="58"/>
      <c r="B237" s="59" t="s">
        <v>33</v>
      </c>
      <c r="C237" s="64"/>
      <c r="D237" s="64"/>
    </row>
    <row r="238" spans="1:13" s="62" customFormat="1" hidden="1" x14ac:dyDescent="0.2">
      <c r="A238" s="58"/>
      <c r="B238" s="59" t="s">
        <v>35</v>
      </c>
      <c r="C238" s="64" t="s">
        <v>32</v>
      </c>
      <c r="D238" s="64"/>
    </row>
    <row r="239" spans="1:13" s="62" customFormat="1" ht="15.75" hidden="1" x14ac:dyDescent="0.25">
      <c r="A239" s="53" t="s">
        <v>125</v>
      </c>
      <c r="B239" s="78"/>
      <c r="C239" s="55" t="s">
        <v>32</v>
      </c>
      <c r="D239" s="56"/>
      <c r="I239" s="62">
        <v>0</v>
      </c>
      <c r="J239" s="62">
        <v>0</v>
      </c>
      <c r="L239" s="62">
        <v>0</v>
      </c>
      <c r="M239" s="62">
        <v>0</v>
      </c>
    </row>
    <row r="240" spans="1:13" s="62" customFormat="1" hidden="1" x14ac:dyDescent="0.2">
      <c r="A240" s="58"/>
      <c r="B240" s="59" t="s">
        <v>33</v>
      </c>
      <c r="C240" s="64"/>
      <c r="D240" s="64"/>
    </row>
    <row r="241" spans="1:13" s="62" customFormat="1" hidden="1" x14ac:dyDescent="0.2">
      <c r="A241" s="58"/>
      <c r="B241" s="59" t="s">
        <v>35</v>
      </c>
      <c r="C241" s="64" t="s">
        <v>32</v>
      </c>
      <c r="D241" s="64"/>
    </row>
    <row r="242" spans="1:13" s="62" customFormat="1" ht="15.75" hidden="1" x14ac:dyDescent="0.25">
      <c r="A242" s="53" t="s">
        <v>126</v>
      </c>
      <c r="B242" s="78"/>
      <c r="C242" s="55" t="s">
        <v>32</v>
      </c>
      <c r="D242" s="56"/>
      <c r="I242" s="62">
        <v>0</v>
      </c>
      <c r="J242" s="62">
        <v>0</v>
      </c>
      <c r="L242" s="62">
        <v>0</v>
      </c>
      <c r="M242" s="62">
        <v>0</v>
      </c>
    </row>
    <row r="243" spans="1:13" s="62" customFormat="1" hidden="1" x14ac:dyDescent="0.2">
      <c r="A243" s="58"/>
      <c r="B243" s="59" t="s">
        <v>33</v>
      </c>
      <c r="C243" s="64"/>
      <c r="D243" s="64"/>
    </row>
    <row r="244" spans="1:13" s="62" customFormat="1" hidden="1" x14ac:dyDescent="0.2">
      <c r="A244" s="58"/>
      <c r="B244" s="59" t="s">
        <v>35</v>
      </c>
      <c r="C244" s="64" t="s">
        <v>32</v>
      </c>
      <c r="D244" s="64"/>
    </row>
    <row r="245" spans="1:13" s="62" customFormat="1" ht="15.75" hidden="1" x14ac:dyDescent="0.25">
      <c r="A245" s="53" t="s">
        <v>127</v>
      </c>
      <c r="B245" s="78"/>
      <c r="C245" s="55" t="s">
        <v>32</v>
      </c>
      <c r="D245" s="56"/>
      <c r="I245" s="62">
        <v>0</v>
      </c>
      <c r="J245" s="62">
        <v>0</v>
      </c>
      <c r="L245" s="62">
        <v>0</v>
      </c>
      <c r="M245" s="62">
        <v>0</v>
      </c>
    </row>
    <row r="246" spans="1:13" s="62" customFormat="1" hidden="1" x14ac:dyDescent="0.2">
      <c r="A246" s="58"/>
      <c r="B246" s="59" t="s">
        <v>33</v>
      </c>
      <c r="C246" s="64"/>
      <c r="D246" s="64"/>
    </row>
    <row r="247" spans="1:13" s="62" customFormat="1" hidden="1" x14ac:dyDescent="0.2">
      <c r="A247" s="58"/>
      <c r="B247" s="59" t="s">
        <v>35</v>
      </c>
      <c r="C247" s="64" t="s">
        <v>32</v>
      </c>
      <c r="D247" s="64"/>
    </row>
    <row r="248" spans="1:13" s="62" customFormat="1" ht="15.75" hidden="1" x14ac:dyDescent="0.25">
      <c r="A248" s="53" t="s">
        <v>128</v>
      </c>
      <c r="B248" s="79"/>
      <c r="C248" s="55" t="s">
        <v>32</v>
      </c>
      <c r="D248" s="56"/>
      <c r="I248" s="62">
        <v>0</v>
      </c>
      <c r="J248" s="62">
        <v>0</v>
      </c>
      <c r="L248" s="62">
        <v>0</v>
      </c>
      <c r="M248" s="62">
        <v>0</v>
      </c>
    </row>
    <row r="249" spans="1:13" s="62" customFormat="1" hidden="1" x14ac:dyDescent="0.2">
      <c r="A249" s="58"/>
      <c r="B249" s="59" t="s">
        <v>33</v>
      </c>
      <c r="C249" s="64"/>
      <c r="D249" s="64"/>
    </row>
    <row r="250" spans="1:13" s="62" customFormat="1" hidden="1" x14ac:dyDescent="0.2">
      <c r="A250" s="58"/>
      <c r="B250" s="59" t="s">
        <v>35</v>
      </c>
      <c r="C250" s="64" t="s">
        <v>32</v>
      </c>
      <c r="D250" s="64"/>
    </row>
    <row r="251" spans="1:13" s="62" customFormat="1" ht="15.75" hidden="1" x14ac:dyDescent="0.25">
      <c r="A251" s="53" t="s">
        <v>129</v>
      </c>
      <c r="B251" s="70"/>
      <c r="C251" s="55" t="s">
        <v>32</v>
      </c>
      <c r="D251" s="56"/>
      <c r="I251" s="62">
        <v>0</v>
      </c>
      <c r="J251" s="62">
        <v>0</v>
      </c>
      <c r="L251" s="62">
        <v>0</v>
      </c>
      <c r="M251" s="62">
        <v>0</v>
      </c>
    </row>
    <row r="252" spans="1:13" s="62" customFormat="1" hidden="1" x14ac:dyDescent="0.2">
      <c r="A252" s="58"/>
      <c r="B252" s="59" t="s">
        <v>33</v>
      </c>
      <c r="C252" s="64"/>
      <c r="D252" s="64"/>
    </row>
    <row r="253" spans="1:13" s="62" customFormat="1" hidden="1" x14ac:dyDescent="0.2">
      <c r="A253" s="58"/>
      <c r="B253" s="59" t="s">
        <v>35</v>
      </c>
      <c r="C253" s="64" t="s">
        <v>32</v>
      </c>
      <c r="D253" s="64"/>
    </row>
    <row r="254" spans="1:13" s="62" customFormat="1" ht="15.75" hidden="1" x14ac:dyDescent="0.25">
      <c r="A254" s="53" t="s">
        <v>130</v>
      </c>
      <c r="B254" s="70"/>
      <c r="C254" s="55" t="s">
        <v>32</v>
      </c>
      <c r="D254" s="56"/>
      <c r="I254" s="62">
        <v>0</v>
      </c>
      <c r="J254" s="62">
        <v>0</v>
      </c>
      <c r="L254" s="62">
        <v>0</v>
      </c>
      <c r="M254" s="62">
        <v>0</v>
      </c>
    </row>
    <row r="255" spans="1:13" s="62" customFormat="1" hidden="1" x14ac:dyDescent="0.2">
      <c r="A255" s="58"/>
      <c r="B255" s="59" t="s">
        <v>33</v>
      </c>
      <c r="C255" s="64"/>
      <c r="D255" s="64"/>
    </row>
    <row r="256" spans="1:13" s="62" customFormat="1" hidden="1" x14ac:dyDescent="0.2">
      <c r="A256" s="58"/>
      <c r="B256" s="59" t="s">
        <v>35</v>
      </c>
      <c r="C256" s="64" t="s">
        <v>32</v>
      </c>
      <c r="D256" s="64"/>
    </row>
    <row r="257" spans="1:13" s="62" customFormat="1" ht="15.75" hidden="1" x14ac:dyDescent="0.25">
      <c r="A257" s="53" t="s">
        <v>131</v>
      </c>
      <c r="B257" s="70"/>
      <c r="C257" s="55" t="s">
        <v>32</v>
      </c>
      <c r="D257" s="56"/>
      <c r="I257" s="62">
        <v>0</v>
      </c>
      <c r="J257" s="62">
        <v>0</v>
      </c>
      <c r="L257" s="62">
        <v>0</v>
      </c>
      <c r="M257" s="62">
        <v>0</v>
      </c>
    </row>
    <row r="258" spans="1:13" s="62" customFormat="1" hidden="1" x14ac:dyDescent="0.2">
      <c r="A258" s="58"/>
      <c r="B258" s="59" t="s">
        <v>33</v>
      </c>
      <c r="C258" s="64"/>
      <c r="D258" s="64"/>
    </row>
    <row r="259" spans="1:13" s="62" customFormat="1" hidden="1" x14ac:dyDescent="0.2">
      <c r="A259" s="58"/>
      <c r="B259" s="59" t="s">
        <v>35</v>
      </c>
      <c r="C259" s="64" t="s">
        <v>32</v>
      </c>
      <c r="D259" s="64"/>
    </row>
    <row r="260" spans="1:13" s="62" customFormat="1" ht="15.75" hidden="1" x14ac:dyDescent="0.25">
      <c r="A260" s="53" t="s">
        <v>132</v>
      </c>
      <c r="B260" s="71"/>
      <c r="C260" s="55" t="s">
        <v>32</v>
      </c>
      <c r="D260" s="56"/>
      <c r="I260" s="62">
        <v>0</v>
      </c>
      <c r="J260" s="62">
        <v>0</v>
      </c>
      <c r="L260" s="62">
        <v>0</v>
      </c>
      <c r="M260" s="62">
        <v>0</v>
      </c>
    </row>
    <row r="261" spans="1:13" s="62" customFormat="1" hidden="1" x14ac:dyDescent="0.2">
      <c r="A261" s="58"/>
      <c r="B261" s="59" t="s">
        <v>33</v>
      </c>
      <c r="C261" s="64"/>
      <c r="D261" s="64"/>
    </row>
    <row r="262" spans="1:13" s="62" customFormat="1" hidden="1" x14ac:dyDescent="0.2">
      <c r="A262" s="58"/>
      <c r="B262" s="59" t="s">
        <v>35</v>
      </c>
      <c r="C262" s="64" t="s">
        <v>32</v>
      </c>
      <c r="D262" s="64"/>
    </row>
    <row r="263" spans="1:13" s="62" customFormat="1" ht="15.75" hidden="1" x14ac:dyDescent="0.25">
      <c r="A263" s="53" t="s">
        <v>133</v>
      </c>
      <c r="B263" s="71"/>
      <c r="C263" s="55" t="s">
        <v>32</v>
      </c>
      <c r="D263" s="56"/>
      <c r="I263" s="62">
        <v>0</v>
      </c>
      <c r="J263" s="62">
        <v>0</v>
      </c>
      <c r="L263" s="62">
        <v>0</v>
      </c>
      <c r="M263" s="62">
        <v>0</v>
      </c>
    </row>
    <row r="264" spans="1:13" s="62" customFormat="1" hidden="1" x14ac:dyDescent="0.2">
      <c r="A264" s="58"/>
      <c r="B264" s="59" t="s">
        <v>33</v>
      </c>
      <c r="C264" s="64"/>
      <c r="D264" s="64"/>
    </row>
    <row r="265" spans="1:13" s="62" customFormat="1" hidden="1" x14ac:dyDescent="0.2">
      <c r="A265" s="58"/>
      <c r="B265" s="59" t="s">
        <v>35</v>
      </c>
      <c r="C265" s="64" t="s">
        <v>32</v>
      </c>
      <c r="D265" s="64"/>
    </row>
    <row r="266" spans="1:13" s="62" customFormat="1" ht="15.75" hidden="1" x14ac:dyDescent="0.25">
      <c r="A266" s="53" t="s">
        <v>134</v>
      </c>
      <c r="B266" s="71"/>
      <c r="C266" s="55" t="s">
        <v>32</v>
      </c>
      <c r="D266" s="56"/>
      <c r="I266" s="62">
        <v>0</v>
      </c>
      <c r="J266" s="62">
        <v>0</v>
      </c>
      <c r="L266" s="62">
        <v>0</v>
      </c>
      <c r="M266" s="62">
        <v>0</v>
      </c>
    </row>
    <row r="267" spans="1:13" s="62" customFormat="1" hidden="1" x14ac:dyDescent="0.2">
      <c r="A267" s="58"/>
      <c r="B267" s="59" t="s">
        <v>33</v>
      </c>
      <c r="C267" s="64"/>
      <c r="D267" s="64"/>
    </row>
    <row r="268" spans="1:13" s="62" customFormat="1" hidden="1" x14ac:dyDescent="0.2">
      <c r="A268" s="58"/>
      <c r="B268" s="59" t="s">
        <v>35</v>
      </c>
      <c r="C268" s="64" t="s">
        <v>32</v>
      </c>
      <c r="D268" s="64"/>
    </row>
    <row r="269" spans="1:13" s="62" customFormat="1" ht="15.75" hidden="1" x14ac:dyDescent="0.25">
      <c r="A269" s="53" t="s">
        <v>135</v>
      </c>
      <c r="B269" s="70"/>
      <c r="C269" s="55" t="s">
        <v>32</v>
      </c>
      <c r="D269" s="56"/>
      <c r="I269" s="62">
        <v>0</v>
      </c>
      <c r="J269" s="62">
        <v>0</v>
      </c>
      <c r="L269" s="62">
        <v>0</v>
      </c>
      <c r="M269" s="62">
        <v>0</v>
      </c>
    </row>
    <row r="270" spans="1:13" s="62" customFormat="1" hidden="1" x14ac:dyDescent="0.2">
      <c r="A270" s="58"/>
      <c r="B270" s="59" t="s">
        <v>33</v>
      </c>
      <c r="C270" s="64"/>
      <c r="D270" s="64"/>
    </row>
    <row r="271" spans="1:13" s="62" customFormat="1" hidden="1" x14ac:dyDescent="0.2">
      <c r="A271" s="58"/>
      <c r="B271" s="59" t="s">
        <v>35</v>
      </c>
      <c r="C271" s="64" t="s">
        <v>32</v>
      </c>
      <c r="D271" s="64"/>
    </row>
    <row r="272" spans="1:13" s="62" customFormat="1" ht="15.75" hidden="1" x14ac:dyDescent="0.25">
      <c r="A272" s="53" t="s">
        <v>136</v>
      </c>
      <c r="B272" s="71"/>
      <c r="C272" s="55" t="s">
        <v>32</v>
      </c>
      <c r="D272" s="56"/>
      <c r="I272" s="62">
        <v>0</v>
      </c>
      <c r="J272" s="62">
        <v>0</v>
      </c>
      <c r="L272" s="62">
        <v>0</v>
      </c>
      <c r="M272" s="62">
        <v>0</v>
      </c>
    </row>
    <row r="273" spans="1:13" s="62" customFormat="1" hidden="1" x14ac:dyDescent="0.2">
      <c r="A273" s="58"/>
      <c r="B273" s="59" t="s">
        <v>33</v>
      </c>
      <c r="C273" s="64"/>
      <c r="D273" s="64"/>
    </row>
    <row r="274" spans="1:13" s="62" customFormat="1" hidden="1" x14ac:dyDescent="0.2">
      <c r="A274" s="58"/>
      <c r="B274" s="59" t="s">
        <v>35</v>
      </c>
      <c r="C274" s="64" t="s">
        <v>32</v>
      </c>
      <c r="D274" s="64"/>
    </row>
    <row r="275" spans="1:13" s="62" customFormat="1" ht="15.75" hidden="1" x14ac:dyDescent="0.25">
      <c r="A275" s="53" t="s">
        <v>137</v>
      </c>
      <c r="B275" s="80"/>
      <c r="C275" s="55" t="s">
        <v>32</v>
      </c>
      <c r="D275" s="56"/>
      <c r="I275" s="62">
        <v>0</v>
      </c>
      <c r="J275" s="62">
        <v>0</v>
      </c>
      <c r="L275" s="62">
        <v>0</v>
      </c>
      <c r="M275" s="62">
        <v>0</v>
      </c>
    </row>
    <row r="276" spans="1:13" s="62" customFormat="1" hidden="1" x14ac:dyDescent="0.2">
      <c r="A276" s="58"/>
      <c r="B276" s="59" t="s">
        <v>33</v>
      </c>
      <c r="C276" s="64"/>
      <c r="D276" s="64"/>
    </row>
    <row r="277" spans="1:13" s="62" customFormat="1" hidden="1" x14ac:dyDescent="0.2">
      <c r="A277" s="58"/>
      <c r="B277" s="59" t="s">
        <v>35</v>
      </c>
      <c r="C277" s="64" t="s">
        <v>32</v>
      </c>
      <c r="D277" s="64"/>
    </row>
    <row r="278" spans="1:13" s="62" customFormat="1" ht="15.75" hidden="1" x14ac:dyDescent="0.25">
      <c r="A278" s="53" t="s">
        <v>138</v>
      </c>
      <c r="B278" s="68"/>
      <c r="C278" s="55" t="s">
        <v>32</v>
      </c>
      <c r="D278" s="56"/>
      <c r="I278" s="62">
        <v>0</v>
      </c>
      <c r="J278" s="62">
        <v>0</v>
      </c>
      <c r="L278" s="62">
        <v>0</v>
      </c>
      <c r="M278" s="62">
        <v>0</v>
      </c>
    </row>
    <row r="279" spans="1:13" s="62" customFormat="1" hidden="1" x14ac:dyDescent="0.2">
      <c r="A279" s="58"/>
      <c r="B279" s="59" t="s">
        <v>33</v>
      </c>
      <c r="C279" s="64"/>
      <c r="D279" s="64"/>
    </row>
    <row r="280" spans="1:13" s="62" customFormat="1" hidden="1" x14ac:dyDescent="0.2">
      <c r="A280" s="58"/>
      <c r="B280" s="59" t="s">
        <v>35</v>
      </c>
      <c r="C280" s="64" t="s">
        <v>32</v>
      </c>
      <c r="D280" s="64"/>
    </row>
    <row r="281" spans="1:13" s="62" customFormat="1" ht="15.75" hidden="1" x14ac:dyDescent="0.25">
      <c r="A281" s="53" t="s">
        <v>139</v>
      </c>
      <c r="B281" s="81"/>
      <c r="C281" s="55" t="s">
        <v>32</v>
      </c>
      <c r="D281" s="56"/>
      <c r="I281" s="62">
        <v>0</v>
      </c>
      <c r="J281" s="62">
        <v>0</v>
      </c>
      <c r="L281" s="62">
        <v>0</v>
      </c>
      <c r="M281" s="62">
        <v>0</v>
      </c>
    </row>
    <row r="282" spans="1:13" s="62" customFormat="1" hidden="1" x14ac:dyDescent="0.2">
      <c r="A282" s="58"/>
      <c r="B282" s="59" t="s">
        <v>33</v>
      </c>
      <c r="C282" s="64"/>
      <c r="D282" s="64"/>
    </row>
    <row r="283" spans="1:13" s="62" customFormat="1" hidden="1" x14ac:dyDescent="0.2">
      <c r="A283" s="58"/>
      <c r="B283" s="59" t="s">
        <v>35</v>
      </c>
      <c r="C283" s="64" t="s">
        <v>32</v>
      </c>
      <c r="D283" s="64"/>
    </row>
    <row r="284" spans="1:13" s="62" customFormat="1" ht="15.75" hidden="1" x14ac:dyDescent="0.25">
      <c r="A284" s="53" t="s">
        <v>140</v>
      </c>
      <c r="B284" s="81"/>
      <c r="C284" s="55" t="s">
        <v>32</v>
      </c>
      <c r="D284" s="56"/>
      <c r="I284" s="62">
        <v>0</v>
      </c>
      <c r="J284" s="62">
        <v>0</v>
      </c>
      <c r="L284" s="62">
        <v>0</v>
      </c>
      <c r="M284" s="62">
        <v>0</v>
      </c>
    </row>
    <row r="285" spans="1:13" s="62" customFormat="1" hidden="1" x14ac:dyDescent="0.2">
      <c r="A285" s="58"/>
      <c r="B285" s="59" t="s">
        <v>33</v>
      </c>
      <c r="C285" s="64"/>
      <c r="D285" s="64"/>
    </row>
    <row r="286" spans="1:13" s="62" customFormat="1" hidden="1" x14ac:dyDescent="0.2">
      <c r="A286" s="58"/>
      <c r="B286" s="59" t="s">
        <v>35</v>
      </c>
      <c r="C286" s="64" t="s">
        <v>32</v>
      </c>
      <c r="D286" s="64"/>
    </row>
    <row r="287" spans="1:13" s="62" customFormat="1" ht="15.75" hidden="1" x14ac:dyDescent="0.25">
      <c r="A287" s="53" t="s">
        <v>141</v>
      </c>
      <c r="B287" s="81"/>
      <c r="C287" s="55" t="s">
        <v>32</v>
      </c>
      <c r="D287" s="56"/>
      <c r="I287" s="62">
        <v>0</v>
      </c>
      <c r="J287" s="62">
        <v>0</v>
      </c>
      <c r="L287" s="62">
        <v>0</v>
      </c>
      <c r="M287" s="62">
        <v>0</v>
      </c>
    </row>
    <row r="288" spans="1:13" s="62" customFormat="1" hidden="1" x14ac:dyDescent="0.2">
      <c r="A288" s="58"/>
      <c r="B288" s="59" t="s">
        <v>33</v>
      </c>
      <c r="C288" s="64"/>
      <c r="D288" s="64"/>
    </row>
    <row r="289" spans="1:13" s="62" customFormat="1" hidden="1" x14ac:dyDescent="0.2">
      <c r="A289" s="58"/>
      <c r="B289" s="59" t="s">
        <v>35</v>
      </c>
      <c r="C289" s="64" t="s">
        <v>32</v>
      </c>
      <c r="D289" s="64"/>
    </row>
    <row r="290" spans="1:13" s="62" customFormat="1" ht="15.75" hidden="1" x14ac:dyDescent="0.25">
      <c r="A290" s="53" t="s">
        <v>142</v>
      </c>
      <c r="B290" s="79"/>
      <c r="C290" s="55" t="s">
        <v>32</v>
      </c>
      <c r="D290" s="56"/>
      <c r="I290" s="62">
        <v>0</v>
      </c>
      <c r="J290" s="62">
        <v>0</v>
      </c>
      <c r="L290" s="62">
        <v>0</v>
      </c>
      <c r="M290" s="62">
        <v>0</v>
      </c>
    </row>
    <row r="291" spans="1:13" s="62" customFormat="1" hidden="1" x14ac:dyDescent="0.2">
      <c r="A291" s="58"/>
      <c r="B291" s="59" t="s">
        <v>33</v>
      </c>
      <c r="C291" s="64"/>
      <c r="D291" s="64"/>
    </row>
    <row r="292" spans="1:13" s="62" customFormat="1" hidden="1" x14ac:dyDescent="0.2">
      <c r="A292" s="58"/>
      <c r="B292" s="59" t="s">
        <v>35</v>
      </c>
      <c r="C292" s="64" t="s">
        <v>32</v>
      </c>
      <c r="D292" s="64"/>
    </row>
    <row r="293" spans="1:13" s="62" customFormat="1" ht="15.75" hidden="1" x14ac:dyDescent="0.25">
      <c r="A293" s="53" t="s">
        <v>143</v>
      </c>
      <c r="B293" s="71"/>
      <c r="C293" s="55" t="s">
        <v>32</v>
      </c>
      <c r="D293" s="56"/>
      <c r="I293" s="62">
        <v>0</v>
      </c>
      <c r="J293" s="62">
        <v>0</v>
      </c>
      <c r="L293" s="62">
        <v>0</v>
      </c>
      <c r="M293" s="62">
        <v>0</v>
      </c>
    </row>
    <row r="294" spans="1:13" s="62" customFormat="1" hidden="1" x14ac:dyDescent="0.2">
      <c r="A294" s="58"/>
      <c r="B294" s="59" t="s">
        <v>33</v>
      </c>
      <c r="C294" s="64"/>
      <c r="D294" s="64"/>
    </row>
    <row r="295" spans="1:13" s="62" customFormat="1" hidden="1" x14ac:dyDescent="0.2">
      <c r="A295" s="58"/>
      <c r="B295" s="59" t="s">
        <v>35</v>
      </c>
      <c r="C295" s="64" t="s">
        <v>32</v>
      </c>
      <c r="D295" s="64"/>
    </row>
    <row r="296" spans="1:13" s="62" customFormat="1" ht="15.75" hidden="1" x14ac:dyDescent="0.25">
      <c r="A296" s="53" t="s">
        <v>144</v>
      </c>
      <c r="B296" s="59"/>
      <c r="C296" s="55" t="s">
        <v>32</v>
      </c>
      <c r="D296" s="56"/>
      <c r="I296" s="62">
        <v>0</v>
      </c>
      <c r="J296" s="62">
        <v>0</v>
      </c>
      <c r="L296" s="62">
        <v>0</v>
      </c>
      <c r="M296" s="62">
        <v>0</v>
      </c>
    </row>
    <row r="297" spans="1:13" s="62" customFormat="1" hidden="1" x14ac:dyDescent="0.2">
      <c r="A297" s="58"/>
      <c r="B297" s="59" t="s">
        <v>33</v>
      </c>
      <c r="C297" s="64"/>
      <c r="D297" s="64"/>
    </row>
    <row r="298" spans="1:13" s="62" customFormat="1" hidden="1" x14ac:dyDescent="0.2">
      <c r="A298" s="58"/>
      <c r="B298" s="59" t="s">
        <v>35</v>
      </c>
      <c r="C298" s="64" t="s">
        <v>32</v>
      </c>
      <c r="D298" s="64"/>
    </row>
    <row r="299" spans="1:13" s="62" customFormat="1" ht="15.75" hidden="1" x14ac:dyDescent="0.25">
      <c r="A299" s="53" t="s">
        <v>145</v>
      </c>
      <c r="B299" s="59"/>
      <c r="C299" s="55" t="s">
        <v>32</v>
      </c>
      <c r="D299" s="56"/>
      <c r="I299" s="62">
        <v>0</v>
      </c>
      <c r="J299" s="62">
        <v>0</v>
      </c>
      <c r="L299" s="62">
        <v>0</v>
      </c>
      <c r="M299" s="62">
        <v>0</v>
      </c>
    </row>
    <row r="300" spans="1:13" s="62" customFormat="1" hidden="1" x14ac:dyDescent="0.2">
      <c r="A300" s="58"/>
      <c r="B300" s="59" t="s">
        <v>33</v>
      </c>
      <c r="C300" s="64"/>
      <c r="D300" s="64"/>
    </row>
    <row r="301" spans="1:13" s="62" customFormat="1" hidden="1" x14ac:dyDescent="0.2">
      <c r="A301" s="58"/>
      <c r="B301" s="59" t="s">
        <v>35</v>
      </c>
      <c r="C301" s="64" t="s">
        <v>32</v>
      </c>
      <c r="D301" s="64"/>
    </row>
    <row r="302" spans="1:13" s="62" customFormat="1" ht="15.75" hidden="1" x14ac:dyDescent="0.25">
      <c r="A302" s="53" t="s">
        <v>146</v>
      </c>
      <c r="B302" s="59"/>
      <c r="C302" s="55" t="s">
        <v>32</v>
      </c>
      <c r="D302" s="56"/>
      <c r="I302" s="62">
        <v>0</v>
      </c>
      <c r="J302" s="62">
        <v>0</v>
      </c>
      <c r="L302" s="62">
        <v>0</v>
      </c>
      <c r="M302" s="62">
        <v>0</v>
      </c>
    </row>
    <row r="303" spans="1:13" s="62" customFormat="1" hidden="1" x14ac:dyDescent="0.2">
      <c r="A303" s="58"/>
      <c r="B303" s="59" t="s">
        <v>33</v>
      </c>
      <c r="C303" s="64"/>
      <c r="D303" s="64"/>
    </row>
    <row r="304" spans="1:13" s="62" customFormat="1" hidden="1" x14ac:dyDescent="0.2">
      <c r="A304" s="58"/>
      <c r="B304" s="59" t="s">
        <v>35</v>
      </c>
      <c r="C304" s="64" t="s">
        <v>32</v>
      </c>
      <c r="D304" s="64"/>
    </row>
    <row r="305" spans="1:13" s="62" customFormat="1" ht="15.75" hidden="1" x14ac:dyDescent="0.25">
      <c r="A305" s="53" t="s">
        <v>147</v>
      </c>
      <c r="B305" s="59"/>
      <c r="C305" s="55" t="s">
        <v>32</v>
      </c>
      <c r="D305" s="56"/>
      <c r="I305" s="62">
        <v>0</v>
      </c>
      <c r="J305" s="62">
        <v>0</v>
      </c>
      <c r="L305" s="62">
        <v>0</v>
      </c>
      <c r="M305" s="62">
        <v>0</v>
      </c>
    </row>
    <row r="306" spans="1:13" s="62" customFormat="1" hidden="1" x14ac:dyDescent="0.2">
      <c r="A306" s="58"/>
      <c r="B306" s="59" t="s">
        <v>33</v>
      </c>
      <c r="C306" s="64"/>
      <c r="D306" s="64"/>
    </row>
    <row r="307" spans="1:13" s="62" customFormat="1" hidden="1" x14ac:dyDescent="0.2">
      <c r="A307" s="58"/>
      <c r="B307" s="59" t="s">
        <v>35</v>
      </c>
      <c r="C307" s="64" t="s">
        <v>32</v>
      </c>
      <c r="D307" s="64"/>
    </row>
    <row r="308" spans="1:13" s="62" customFormat="1" ht="15.75" hidden="1" x14ac:dyDescent="0.25">
      <c r="A308" s="53" t="s">
        <v>148</v>
      </c>
      <c r="B308" s="59"/>
      <c r="C308" s="55" t="s">
        <v>32</v>
      </c>
      <c r="D308" s="56"/>
      <c r="I308" s="62">
        <v>0</v>
      </c>
      <c r="J308" s="62">
        <v>0</v>
      </c>
      <c r="L308" s="62">
        <v>0</v>
      </c>
      <c r="M308" s="62">
        <v>0</v>
      </c>
    </row>
    <row r="309" spans="1:13" s="62" customFormat="1" hidden="1" x14ac:dyDescent="0.2">
      <c r="A309" s="58"/>
      <c r="B309" s="59" t="s">
        <v>33</v>
      </c>
      <c r="C309" s="64"/>
      <c r="D309" s="64"/>
    </row>
    <row r="310" spans="1:13" s="62" customFormat="1" hidden="1" x14ac:dyDescent="0.2">
      <c r="A310" s="58"/>
      <c r="B310" s="59" t="s">
        <v>35</v>
      </c>
      <c r="C310" s="64" t="s">
        <v>32</v>
      </c>
      <c r="D310" s="64"/>
    </row>
    <row r="311" spans="1:13" s="62" customFormat="1" ht="15.75" hidden="1" x14ac:dyDescent="0.25">
      <c r="A311" s="53" t="s">
        <v>149</v>
      </c>
      <c r="B311" s="59"/>
      <c r="C311" s="55" t="s">
        <v>32</v>
      </c>
      <c r="D311" s="56"/>
      <c r="I311" s="62">
        <v>0</v>
      </c>
      <c r="J311" s="62">
        <v>0</v>
      </c>
      <c r="L311" s="62">
        <v>0</v>
      </c>
      <c r="M311" s="62">
        <v>0</v>
      </c>
    </row>
    <row r="312" spans="1:13" s="62" customFormat="1" hidden="1" x14ac:dyDescent="0.2">
      <c r="A312" s="58"/>
      <c r="B312" s="59" t="s">
        <v>33</v>
      </c>
      <c r="C312" s="64"/>
      <c r="D312" s="64"/>
    </row>
    <row r="313" spans="1:13" s="62" customFormat="1" hidden="1" x14ac:dyDescent="0.2">
      <c r="A313" s="58"/>
      <c r="B313" s="59" t="s">
        <v>35</v>
      </c>
      <c r="C313" s="64" t="s">
        <v>32</v>
      </c>
      <c r="D313" s="64"/>
    </row>
    <row r="314" spans="1:13" s="62" customFormat="1" ht="15.75" hidden="1" x14ac:dyDescent="0.25">
      <c r="A314" s="53" t="s">
        <v>150</v>
      </c>
      <c r="B314" s="59"/>
      <c r="C314" s="55" t="s">
        <v>32</v>
      </c>
      <c r="D314" s="56"/>
      <c r="I314" s="62">
        <v>0</v>
      </c>
      <c r="J314" s="62">
        <v>0</v>
      </c>
      <c r="L314" s="62">
        <v>0</v>
      </c>
      <c r="M314" s="62">
        <v>0</v>
      </c>
    </row>
    <row r="315" spans="1:13" s="62" customFormat="1" hidden="1" x14ac:dyDescent="0.2">
      <c r="A315" s="58"/>
      <c r="B315" s="59" t="s">
        <v>33</v>
      </c>
      <c r="C315" s="64"/>
      <c r="D315" s="64"/>
    </row>
    <row r="316" spans="1:13" s="62" customFormat="1" hidden="1" x14ac:dyDescent="0.2">
      <c r="A316" s="58"/>
      <c r="B316" s="59" t="s">
        <v>35</v>
      </c>
      <c r="C316" s="64" t="s">
        <v>32</v>
      </c>
      <c r="D316" s="64"/>
    </row>
    <row r="317" spans="1:13" s="62" customFormat="1" ht="15.75" hidden="1" x14ac:dyDescent="0.25">
      <c r="A317" s="53" t="s">
        <v>151</v>
      </c>
      <c r="B317" s="59"/>
      <c r="C317" s="55" t="s">
        <v>32</v>
      </c>
      <c r="D317" s="56"/>
      <c r="I317" s="62">
        <v>0</v>
      </c>
      <c r="J317" s="62">
        <v>0</v>
      </c>
      <c r="L317" s="62">
        <v>0</v>
      </c>
      <c r="M317" s="62">
        <v>0</v>
      </c>
    </row>
    <row r="318" spans="1:13" s="62" customFormat="1" hidden="1" x14ac:dyDescent="0.2">
      <c r="A318" s="58"/>
      <c r="B318" s="59" t="s">
        <v>33</v>
      </c>
      <c r="C318" s="64"/>
      <c r="D318" s="64"/>
    </row>
    <row r="319" spans="1:13" s="62" customFormat="1" hidden="1" x14ac:dyDescent="0.2">
      <c r="A319" s="58"/>
      <c r="B319" s="59" t="s">
        <v>35</v>
      </c>
      <c r="C319" s="64" t="s">
        <v>32</v>
      </c>
      <c r="D319" s="64"/>
    </row>
    <row r="320" spans="1:13" s="62" customFormat="1" ht="15.75" hidden="1" x14ac:dyDescent="0.25">
      <c r="A320" s="53" t="s">
        <v>152</v>
      </c>
      <c r="B320" s="59"/>
      <c r="C320" s="55" t="s">
        <v>32</v>
      </c>
      <c r="D320" s="56"/>
      <c r="I320" s="62">
        <v>0</v>
      </c>
      <c r="J320" s="62">
        <v>0</v>
      </c>
      <c r="L320" s="62">
        <v>0</v>
      </c>
      <c r="M320" s="62">
        <v>0</v>
      </c>
    </row>
    <row r="321" spans="1:13" s="62" customFormat="1" hidden="1" x14ac:dyDescent="0.2">
      <c r="A321" s="58"/>
      <c r="B321" s="59" t="s">
        <v>33</v>
      </c>
      <c r="C321" s="64"/>
      <c r="D321" s="64"/>
    </row>
    <row r="322" spans="1:13" s="62" customFormat="1" hidden="1" x14ac:dyDescent="0.2">
      <c r="A322" s="58"/>
      <c r="B322" s="59" t="s">
        <v>35</v>
      </c>
      <c r="C322" s="64" t="s">
        <v>32</v>
      </c>
      <c r="D322" s="64"/>
    </row>
    <row r="323" spans="1:13" s="62" customFormat="1" ht="15.75" hidden="1" x14ac:dyDescent="0.25">
      <c r="A323" s="53" t="s">
        <v>153</v>
      </c>
      <c r="B323" s="59"/>
      <c r="C323" s="55" t="s">
        <v>32</v>
      </c>
      <c r="D323" s="56"/>
      <c r="I323" s="62">
        <v>0</v>
      </c>
      <c r="J323" s="62">
        <v>0</v>
      </c>
      <c r="L323" s="62">
        <v>0</v>
      </c>
      <c r="M323" s="62">
        <v>0</v>
      </c>
    </row>
    <row r="324" spans="1:13" s="62" customFormat="1" hidden="1" x14ac:dyDescent="0.2">
      <c r="A324" s="58"/>
      <c r="B324" s="59" t="s">
        <v>33</v>
      </c>
      <c r="C324" s="64"/>
      <c r="D324" s="64"/>
    </row>
    <row r="325" spans="1:13" s="62" customFormat="1" hidden="1" x14ac:dyDescent="0.2">
      <c r="A325" s="58"/>
      <c r="B325" s="59" t="s">
        <v>35</v>
      </c>
      <c r="C325" s="64" t="s">
        <v>32</v>
      </c>
      <c r="D325" s="64"/>
    </row>
    <row r="326" spans="1:13" s="62" customFormat="1" ht="15.75" hidden="1" x14ac:dyDescent="0.25">
      <c r="A326" s="53" t="s">
        <v>154</v>
      </c>
      <c r="B326" s="59"/>
      <c r="C326" s="55" t="s">
        <v>32</v>
      </c>
      <c r="D326" s="56"/>
      <c r="I326" s="62">
        <v>0</v>
      </c>
      <c r="J326" s="62">
        <v>0</v>
      </c>
      <c r="L326" s="62">
        <v>0</v>
      </c>
      <c r="M326" s="62">
        <v>0</v>
      </c>
    </row>
    <row r="327" spans="1:13" s="62" customFormat="1" hidden="1" x14ac:dyDescent="0.2">
      <c r="A327" s="58"/>
      <c r="B327" s="59" t="s">
        <v>33</v>
      </c>
      <c r="C327" s="64"/>
      <c r="D327" s="64"/>
    </row>
    <row r="328" spans="1:13" s="62" customFormat="1" hidden="1" x14ac:dyDescent="0.2">
      <c r="A328" s="58"/>
      <c r="B328" s="59" t="s">
        <v>35</v>
      </c>
      <c r="C328" s="64" t="s">
        <v>32</v>
      </c>
      <c r="D328" s="64"/>
    </row>
    <row r="329" spans="1:13" s="62" customFormat="1" ht="15.75" hidden="1" x14ac:dyDescent="0.25">
      <c r="A329" s="53" t="s">
        <v>155</v>
      </c>
      <c r="B329" s="59"/>
      <c r="C329" s="64"/>
      <c r="D329" s="56"/>
      <c r="I329" s="62">
        <v>0</v>
      </c>
      <c r="J329" s="62">
        <v>0</v>
      </c>
      <c r="L329" s="62">
        <v>0</v>
      </c>
      <c r="M329" s="62">
        <v>0</v>
      </c>
    </row>
    <row r="330" spans="1:13" s="62" customFormat="1" hidden="1" x14ac:dyDescent="0.2">
      <c r="A330" s="58"/>
      <c r="B330" s="59" t="s">
        <v>33</v>
      </c>
      <c r="C330" s="64"/>
      <c r="D330" s="64"/>
    </row>
    <row r="331" spans="1:13" s="62" customFormat="1" hidden="1" x14ac:dyDescent="0.2">
      <c r="A331" s="58"/>
      <c r="B331" s="59" t="s">
        <v>35</v>
      </c>
      <c r="C331" s="64"/>
      <c r="D331" s="64"/>
    </row>
    <row r="332" spans="1:13" s="62" customFormat="1" ht="15.75" hidden="1" x14ac:dyDescent="0.25">
      <c r="A332" s="58"/>
      <c r="B332" s="59"/>
      <c r="C332" s="64"/>
      <c r="D332" s="56"/>
      <c r="I332" s="62">
        <v>0</v>
      </c>
      <c r="J332" s="62">
        <v>0</v>
      </c>
      <c r="L332" s="62">
        <v>0</v>
      </c>
      <c r="M332" s="62">
        <v>0</v>
      </c>
    </row>
    <row r="333" spans="1:13" s="62" customFormat="1" hidden="1" x14ac:dyDescent="0.2">
      <c r="A333" s="58"/>
      <c r="B333" s="59" t="s">
        <v>33</v>
      </c>
      <c r="C333" s="64"/>
      <c r="D333" s="64"/>
    </row>
    <row r="334" spans="1:13" s="62" customFormat="1" hidden="1" x14ac:dyDescent="0.2">
      <c r="A334" s="58"/>
      <c r="B334" s="59" t="s">
        <v>35</v>
      </c>
      <c r="C334" s="64"/>
      <c r="D334" s="64"/>
    </row>
    <row r="335" spans="1:13" s="62" customFormat="1" ht="15.75" hidden="1" x14ac:dyDescent="0.25">
      <c r="A335" s="58"/>
      <c r="B335" s="59"/>
      <c r="C335" s="64"/>
      <c r="D335" s="56"/>
      <c r="I335" s="62">
        <v>0</v>
      </c>
      <c r="J335" s="62">
        <v>0</v>
      </c>
      <c r="L335" s="62">
        <v>0</v>
      </c>
      <c r="M335" s="62">
        <v>0</v>
      </c>
    </row>
    <row r="336" spans="1:13" s="62" customFormat="1" hidden="1" x14ac:dyDescent="0.2">
      <c r="A336" s="58"/>
      <c r="B336" s="59" t="s">
        <v>33</v>
      </c>
      <c r="C336" s="64"/>
      <c r="D336" s="64"/>
    </row>
    <row r="337" spans="1:13" s="62" customFormat="1" hidden="1" x14ac:dyDescent="0.2">
      <c r="A337" s="58"/>
      <c r="B337" s="59" t="s">
        <v>35</v>
      </c>
      <c r="C337" s="64"/>
      <c r="D337" s="64"/>
    </row>
    <row r="338" spans="1:13" s="62" customFormat="1" ht="15.75" hidden="1" x14ac:dyDescent="0.25">
      <c r="A338" s="58"/>
      <c r="B338" s="59"/>
      <c r="C338" s="64"/>
      <c r="D338" s="56"/>
      <c r="I338" s="62">
        <v>0</v>
      </c>
      <c r="J338" s="62">
        <v>0</v>
      </c>
      <c r="L338" s="62">
        <v>0</v>
      </c>
      <c r="M338" s="62">
        <v>0</v>
      </c>
    </row>
    <row r="339" spans="1:13" s="62" customFormat="1" hidden="1" x14ac:dyDescent="0.2">
      <c r="A339" s="58"/>
      <c r="B339" s="59" t="s">
        <v>33</v>
      </c>
      <c r="C339" s="64"/>
      <c r="D339" s="64"/>
    </row>
    <row r="340" spans="1:13" s="62" customFormat="1" hidden="1" x14ac:dyDescent="0.2">
      <c r="A340" s="58"/>
      <c r="B340" s="59" t="s">
        <v>35</v>
      </c>
      <c r="C340" s="64"/>
      <c r="D340" s="64"/>
    </row>
    <row r="341" spans="1:13" s="62" customFormat="1" ht="15.75" hidden="1" x14ac:dyDescent="0.25">
      <c r="A341" s="58"/>
      <c r="B341" s="59"/>
      <c r="C341" s="64"/>
      <c r="D341" s="56"/>
      <c r="I341" s="62">
        <v>0</v>
      </c>
      <c r="J341" s="62">
        <v>0</v>
      </c>
      <c r="L341" s="62">
        <v>0</v>
      </c>
      <c r="M341" s="62">
        <v>0</v>
      </c>
    </row>
    <row r="342" spans="1:13" s="62" customFormat="1" hidden="1" x14ac:dyDescent="0.2">
      <c r="A342" s="58"/>
      <c r="B342" s="59" t="s">
        <v>33</v>
      </c>
      <c r="C342" s="64"/>
      <c r="D342" s="64"/>
    </row>
    <row r="343" spans="1:13" s="62" customFormat="1" hidden="1" x14ac:dyDescent="0.2">
      <c r="A343" s="58"/>
      <c r="B343" s="59" t="s">
        <v>35</v>
      </c>
      <c r="C343" s="64"/>
      <c r="D343" s="64"/>
    </row>
    <row r="344" spans="1:13" s="62" customFormat="1" ht="15.75" hidden="1" x14ac:dyDescent="0.25">
      <c r="A344" s="58"/>
      <c r="B344" s="59"/>
      <c r="C344" s="64"/>
      <c r="D344" s="56"/>
      <c r="I344" s="62">
        <v>0</v>
      </c>
      <c r="J344" s="62">
        <v>0</v>
      </c>
      <c r="L344" s="62">
        <v>0</v>
      </c>
      <c r="M344" s="62">
        <v>0</v>
      </c>
    </row>
    <row r="345" spans="1:13" s="62" customFormat="1" hidden="1" x14ac:dyDescent="0.2">
      <c r="A345" s="58"/>
      <c r="B345" s="59" t="s">
        <v>33</v>
      </c>
      <c r="C345" s="64"/>
      <c r="D345" s="64"/>
    </row>
    <row r="346" spans="1:13" s="62" customFormat="1" hidden="1" x14ac:dyDescent="0.2">
      <c r="A346" s="58"/>
      <c r="B346" s="59" t="s">
        <v>35</v>
      </c>
      <c r="C346" s="64"/>
      <c r="D346" s="64"/>
    </row>
    <row r="347" spans="1:13" s="62" customFormat="1" ht="15.75" hidden="1" x14ac:dyDescent="0.25">
      <c r="A347" s="58"/>
      <c r="B347" s="59"/>
      <c r="C347" s="64"/>
      <c r="D347" s="56"/>
      <c r="I347" s="62">
        <v>0</v>
      </c>
      <c r="J347" s="62">
        <v>0</v>
      </c>
      <c r="L347" s="62">
        <v>0</v>
      </c>
      <c r="M347" s="62">
        <v>0</v>
      </c>
    </row>
    <row r="348" spans="1:13" s="62" customFormat="1" hidden="1" x14ac:dyDescent="0.2">
      <c r="A348" s="58"/>
      <c r="B348" s="59" t="s">
        <v>33</v>
      </c>
      <c r="C348" s="64"/>
      <c r="D348" s="64"/>
    </row>
    <row r="349" spans="1:13" s="62" customFormat="1" hidden="1" x14ac:dyDescent="0.2">
      <c r="A349" s="58"/>
      <c r="B349" s="59" t="s">
        <v>35</v>
      </c>
      <c r="C349" s="64"/>
      <c r="D349" s="64"/>
    </row>
    <row r="350" spans="1:13" s="62" customFormat="1" ht="15.75" hidden="1" x14ac:dyDescent="0.25">
      <c r="A350" s="58"/>
      <c r="B350" s="59"/>
      <c r="C350" s="64"/>
      <c r="D350" s="56"/>
      <c r="I350" s="62">
        <v>0</v>
      </c>
      <c r="J350" s="62">
        <v>0</v>
      </c>
      <c r="L350" s="62">
        <v>0</v>
      </c>
      <c r="M350" s="62">
        <v>0</v>
      </c>
    </row>
    <row r="351" spans="1:13" s="62" customFormat="1" hidden="1" x14ac:dyDescent="0.2">
      <c r="A351" s="58"/>
      <c r="B351" s="59" t="s">
        <v>33</v>
      </c>
      <c r="C351" s="64"/>
      <c r="D351" s="64"/>
    </row>
    <row r="352" spans="1:13" s="62" customFormat="1" hidden="1" x14ac:dyDescent="0.2">
      <c r="A352" s="58"/>
      <c r="B352" s="59" t="s">
        <v>35</v>
      </c>
      <c r="C352" s="64"/>
      <c r="D352" s="64"/>
    </row>
    <row r="353" spans="1:17" s="62" customFormat="1" ht="15.75" hidden="1" x14ac:dyDescent="0.25">
      <c r="A353" s="58"/>
      <c r="B353" s="59"/>
      <c r="C353" s="64"/>
      <c r="D353" s="56"/>
      <c r="I353" s="62">
        <v>0</v>
      </c>
      <c r="J353" s="62">
        <v>0</v>
      </c>
      <c r="L353" s="62">
        <v>0</v>
      </c>
      <c r="M353" s="62">
        <v>0</v>
      </c>
    </row>
    <row r="354" spans="1:17" s="62" customFormat="1" hidden="1" x14ac:dyDescent="0.2">
      <c r="A354" s="58"/>
      <c r="B354" s="59" t="s">
        <v>33</v>
      </c>
      <c r="C354" s="64"/>
      <c r="D354" s="64"/>
    </row>
    <row r="355" spans="1:17" s="62" customFormat="1" hidden="1" x14ac:dyDescent="0.2">
      <c r="A355" s="58"/>
      <c r="B355" s="59" t="s">
        <v>35</v>
      </c>
      <c r="C355" s="64"/>
      <c r="D355" s="64"/>
    </row>
    <row r="356" spans="1:17" s="62" customFormat="1" ht="15.75" hidden="1" x14ac:dyDescent="0.25">
      <c r="A356" s="58"/>
      <c r="B356" s="59"/>
      <c r="C356" s="64"/>
      <c r="D356" s="56"/>
      <c r="I356" s="62">
        <v>0</v>
      </c>
      <c r="J356" s="62">
        <v>0</v>
      </c>
      <c r="L356" s="62">
        <v>0</v>
      </c>
      <c r="M356" s="62">
        <v>0</v>
      </c>
    </row>
    <row r="357" spans="1:17" s="62" customFormat="1" hidden="1" x14ac:dyDescent="0.2">
      <c r="A357" s="58"/>
      <c r="B357" s="59" t="s">
        <v>33</v>
      </c>
      <c r="C357" s="64"/>
      <c r="D357" s="64"/>
    </row>
    <row r="358" spans="1:17" s="62" customFormat="1" hidden="1" x14ac:dyDescent="0.2">
      <c r="A358" s="58"/>
      <c r="B358" s="59" t="s">
        <v>35</v>
      </c>
      <c r="C358" s="64"/>
      <c r="D358" s="64"/>
    </row>
    <row r="359" spans="1:17" s="62" customFormat="1" ht="15.75" hidden="1" x14ac:dyDescent="0.25">
      <c r="A359" s="58"/>
      <c r="B359" s="59"/>
      <c r="C359" s="64"/>
      <c r="D359" s="56"/>
      <c r="I359" s="62">
        <v>0</v>
      </c>
      <c r="J359" s="62">
        <v>0</v>
      </c>
      <c r="L359" s="62">
        <v>0</v>
      </c>
      <c r="M359" s="62">
        <v>0</v>
      </c>
    </row>
    <row r="360" spans="1:17" s="62" customFormat="1" hidden="1" x14ac:dyDescent="0.2">
      <c r="A360" s="58"/>
      <c r="B360" s="59" t="s">
        <v>33</v>
      </c>
      <c r="C360" s="64"/>
      <c r="D360" s="64"/>
    </row>
    <row r="361" spans="1:17" s="62" customFormat="1" hidden="1" x14ac:dyDescent="0.2">
      <c r="A361" s="58"/>
      <c r="B361" s="59" t="s">
        <v>35</v>
      </c>
      <c r="C361" s="64"/>
      <c r="D361" s="64"/>
    </row>
    <row r="362" spans="1:17" s="62" customFormat="1" ht="15.75" hidden="1" x14ac:dyDescent="0.25">
      <c r="A362" s="58"/>
      <c r="B362" s="59"/>
      <c r="C362" s="64"/>
      <c r="D362" s="56"/>
      <c r="I362" s="62">
        <v>0</v>
      </c>
      <c r="J362" s="62">
        <v>0</v>
      </c>
      <c r="L362" s="62">
        <v>0</v>
      </c>
      <c r="M362" s="62">
        <v>0</v>
      </c>
    </row>
    <row r="363" spans="1:17" s="62" customFormat="1" hidden="1" x14ac:dyDescent="0.2">
      <c r="A363" s="58"/>
      <c r="B363" s="59" t="s">
        <v>33</v>
      </c>
      <c r="C363" s="64"/>
      <c r="D363" s="64"/>
    </row>
    <row r="364" spans="1:17" s="62" customFormat="1" hidden="1" x14ac:dyDescent="0.2">
      <c r="A364" s="58"/>
      <c r="B364" s="59" t="s">
        <v>35</v>
      </c>
      <c r="C364" s="64"/>
      <c r="D364" s="64"/>
    </row>
    <row r="365" spans="1:17" s="62" customFormat="1" ht="15.75" hidden="1" x14ac:dyDescent="0.25">
      <c r="A365" s="58"/>
      <c r="B365" s="59"/>
      <c r="C365" s="64"/>
      <c r="D365" s="56"/>
      <c r="I365" s="62">
        <v>0</v>
      </c>
      <c r="J365" s="62">
        <v>0</v>
      </c>
      <c r="L365" s="62">
        <v>0</v>
      </c>
      <c r="M365" s="62">
        <v>0</v>
      </c>
    </row>
    <row r="366" spans="1:17" s="62" customFormat="1" hidden="1" x14ac:dyDescent="0.2">
      <c r="A366" s="58"/>
      <c r="B366" s="59" t="s">
        <v>33</v>
      </c>
      <c r="C366" s="64"/>
      <c r="D366" s="64"/>
    </row>
    <row r="367" spans="1:17" s="62" customFormat="1" hidden="1" x14ac:dyDescent="0.2">
      <c r="A367" s="58"/>
      <c r="B367" s="59" t="s">
        <v>35</v>
      </c>
      <c r="C367" s="64"/>
      <c r="D367" s="64"/>
    </row>
    <row r="368" spans="1:17" s="46" customFormat="1" ht="15.75" x14ac:dyDescent="0.25">
      <c r="A368" s="48" t="s">
        <v>156</v>
      </c>
      <c r="B368" s="49" t="s">
        <v>157</v>
      </c>
      <c r="C368" s="50" t="s">
        <v>6</v>
      </c>
      <c r="D368" s="51">
        <f>D369+D377+D385</f>
        <v>11181493.84</v>
      </c>
      <c r="E368" s="143">
        <f>D369+D377-D368+D385</f>
        <v>0</v>
      </c>
      <c r="I368" s="46">
        <v>7405.17</v>
      </c>
      <c r="J368" s="46">
        <v>6905.34</v>
      </c>
      <c r="K368" s="52"/>
      <c r="L368" s="46">
        <v>8036.01</v>
      </c>
      <c r="M368" s="46">
        <v>8296.26</v>
      </c>
      <c r="P368" s="82">
        <f>[2]расч!$D$398</f>
        <v>11466.8</v>
      </c>
      <c r="Q368" s="144">
        <f>P368*1.0398</f>
        <v>11923.17864</v>
      </c>
    </row>
    <row r="369" spans="1:17" s="46" customFormat="1" ht="15.75" x14ac:dyDescent="0.25">
      <c r="A369" s="53" t="s">
        <v>158</v>
      </c>
      <c r="B369" s="83" t="s">
        <v>214</v>
      </c>
      <c r="C369" s="55" t="s">
        <v>6</v>
      </c>
      <c r="D369" s="84">
        <f>ROUND((D371*D372+D371*D372*D373/100+D371*D372*D374/100)*1.15,2)*D370</f>
        <v>11181493.84</v>
      </c>
      <c r="E369" s="143">
        <f>E374-D369</f>
        <v>-7.7439999207854271E-2</v>
      </c>
      <c r="I369" s="46">
        <v>3538.85</v>
      </c>
      <c r="J369" s="46">
        <v>3299.63</v>
      </c>
      <c r="K369" s="52"/>
      <c r="L369" s="46">
        <v>3832.25</v>
      </c>
      <c r="M369" s="46">
        <v>3956.43</v>
      </c>
    </row>
    <row r="370" spans="1:17" s="46" customFormat="1" ht="15.75" x14ac:dyDescent="0.25">
      <c r="A370" s="85"/>
      <c r="B370" s="59" t="s">
        <v>160</v>
      </c>
      <c r="C370" s="64" t="s">
        <v>161</v>
      </c>
      <c r="D370" s="89">
        <v>22</v>
      </c>
      <c r="E370" s="145">
        <f>D370*D371*D372</f>
        <v>5857251.8400000008</v>
      </c>
      <c r="I370" s="46">
        <v>1</v>
      </c>
      <c r="J370" s="46">
        <v>1</v>
      </c>
      <c r="K370" s="52"/>
      <c r="L370" s="46">
        <v>1</v>
      </c>
      <c r="M370" s="46">
        <v>1</v>
      </c>
    </row>
    <row r="371" spans="1:17" s="46" customFormat="1" ht="15.75" x14ac:dyDescent="0.25">
      <c r="A371" s="85"/>
      <c r="B371" s="59" t="s">
        <v>162</v>
      </c>
      <c r="C371" s="64" t="s">
        <v>32</v>
      </c>
      <c r="D371" s="146">
        <v>84.04</v>
      </c>
      <c r="E371" s="145">
        <f>E370*D373/100</f>
        <v>3280061.0304</v>
      </c>
      <c r="I371" s="46">
        <v>62.939315762797769</v>
      </c>
      <c r="J371" s="46">
        <v>43.128400852359206</v>
      </c>
      <c r="K371" s="52"/>
      <c r="L371" s="46">
        <v>68.435000000000002</v>
      </c>
      <c r="M371" s="46">
        <v>70.652499999999989</v>
      </c>
      <c r="O371" s="46">
        <v>84.04</v>
      </c>
    </row>
    <row r="372" spans="1:17" s="46" customFormat="1" ht="15.75" x14ac:dyDescent="0.25">
      <c r="A372" s="85"/>
      <c r="B372" s="59" t="s">
        <v>163</v>
      </c>
      <c r="C372" s="64" t="s">
        <v>164</v>
      </c>
      <c r="D372" s="88">
        <f>12*22*12</f>
        <v>3168</v>
      </c>
      <c r="E372" s="145">
        <f>E370*D374/100</f>
        <v>585725.18400000001</v>
      </c>
      <c r="I372" s="46">
        <v>22.5</v>
      </c>
      <c r="J372" s="46">
        <v>24</v>
      </c>
      <c r="K372" s="52"/>
      <c r="L372" s="46">
        <v>22.408785404108745</v>
      </c>
      <c r="M372" s="46">
        <v>22.408785404108745</v>
      </c>
      <c r="Q372" s="46">
        <v>1500</v>
      </c>
    </row>
    <row r="373" spans="1:17" s="46" customFormat="1" ht="15.75" x14ac:dyDescent="0.25">
      <c r="A373" s="85"/>
      <c r="B373" s="59" t="s">
        <v>165</v>
      </c>
      <c r="C373" s="64" t="s">
        <v>166</v>
      </c>
      <c r="D373" s="86">
        <v>56</v>
      </c>
      <c r="E373" s="145">
        <f>E370+E371+E372</f>
        <v>9723038.0544000007</v>
      </c>
      <c r="I373" s="46">
        <v>56</v>
      </c>
      <c r="J373" s="46">
        <v>87</v>
      </c>
      <c r="K373" s="52"/>
      <c r="L373" s="46">
        <v>56</v>
      </c>
      <c r="M373" s="46">
        <v>56</v>
      </c>
      <c r="O373" s="46">
        <v>56</v>
      </c>
    </row>
    <row r="374" spans="1:17" s="46" customFormat="1" ht="15.75" x14ac:dyDescent="0.25">
      <c r="A374" s="85"/>
      <c r="B374" s="59" t="s">
        <v>167</v>
      </c>
      <c r="C374" s="64" t="s">
        <v>166</v>
      </c>
      <c r="D374" s="86">
        <v>10</v>
      </c>
      <c r="E374" s="145">
        <f>E373*1.15</f>
        <v>11181493.762560001</v>
      </c>
      <c r="I374" s="46">
        <v>61.3</v>
      </c>
      <c r="J374" s="46">
        <v>44</v>
      </c>
      <c r="K374" s="52"/>
      <c r="L374" s="46">
        <v>61.3</v>
      </c>
      <c r="M374" s="46">
        <v>61.3</v>
      </c>
    </row>
    <row r="375" spans="1:17" s="46" customFormat="1" ht="15.75" x14ac:dyDescent="0.25">
      <c r="A375" s="85"/>
      <c r="B375" s="59" t="s">
        <v>168</v>
      </c>
      <c r="C375" s="64" t="s">
        <v>166</v>
      </c>
      <c r="D375" s="64">
        <v>0</v>
      </c>
      <c r="E375" s="145"/>
      <c r="I375" s="46">
        <v>0</v>
      </c>
      <c r="J375" s="46">
        <v>20</v>
      </c>
      <c r="K375" s="52"/>
      <c r="L375" s="46">
        <v>0</v>
      </c>
      <c r="M375" s="46">
        <v>0</v>
      </c>
      <c r="O375" s="46">
        <v>4</v>
      </c>
    </row>
    <row r="376" spans="1:17" s="46" customFormat="1" ht="15.75" x14ac:dyDescent="0.25">
      <c r="A376" s="85"/>
      <c r="B376" s="59" t="s">
        <v>169</v>
      </c>
      <c r="C376" s="64" t="s">
        <v>166</v>
      </c>
      <c r="D376" s="86">
        <v>15</v>
      </c>
      <c r="I376" s="46">
        <v>15</v>
      </c>
      <c r="J376" s="46">
        <v>15</v>
      </c>
      <c r="K376" s="52"/>
      <c r="L376" s="46">
        <v>15</v>
      </c>
      <c r="M376" s="46">
        <v>15</v>
      </c>
    </row>
    <row r="377" spans="1:17" s="57" customFormat="1" ht="15.75" x14ac:dyDescent="0.25">
      <c r="A377" s="53" t="s">
        <v>170</v>
      </c>
      <c r="B377" s="83" t="s">
        <v>206</v>
      </c>
      <c r="C377" s="55" t="s">
        <v>6</v>
      </c>
      <c r="D377" s="84">
        <f>ROUND((D379*D380+D379*D380*D381/100+D379*D380*D382/100)*1.15,2)</f>
        <v>0</v>
      </c>
      <c r="E377" s="143">
        <f>E382-D377</f>
        <v>0</v>
      </c>
      <c r="I377" s="57">
        <v>3866.32</v>
      </c>
      <c r="J377" s="57">
        <v>3605.71</v>
      </c>
      <c r="K377" s="52"/>
      <c r="L377" s="57">
        <v>4203.76</v>
      </c>
      <c r="M377" s="57">
        <v>4339.83</v>
      </c>
    </row>
    <row r="378" spans="1:17" s="62" customFormat="1" ht="15" customHeight="1" x14ac:dyDescent="0.25">
      <c r="B378" s="59" t="s">
        <v>160</v>
      </c>
      <c r="C378" s="64" t="s">
        <v>161</v>
      </c>
      <c r="D378" s="89">
        <v>1</v>
      </c>
      <c r="E378" s="145">
        <f>D378*D379*D380</f>
        <v>0</v>
      </c>
      <c r="F378" s="63"/>
      <c r="I378" s="62">
        <v>1</v>
      </c>
      <c r="J378" s="62">
        <v>1</v>
      </c>
      <c r="K378" s="52"/>
      <c r="L378" s="62">
        <v>1</v>
      </c>
      <c r="M378" s="46">
        <v>1</v>
      </c>
    </row>
    <row r="379" spans="1:17" s="62" customFormat="1" ht="15.75" x14ac:dyDescent="0.25">
      <c r="A379" s="58"/>
      <c r="B379" s="59" t="s">
        <v>162</v>
      </c>
      <c r="C379" s="64" t="s">
        <v>32</v>
      </c>
      <c r="D379" s="146"/>
      <c r="E379" s="145">
        <f>E378*D381/100</f>
        <v>0</v>
      </c>
      <c r="F379" s="63"/>
      <c r="I379" s="62">
        <v>68.763380638621385</v>
      </c>
      <c r="J379" s="62">
        <v>47.128990684931509</v>
      </c>
      <c r="K379" s="52"/>
      <c r="L379" s="62">
        <v>74.765000000000001</v>
      </c>
      <c r="M379" s="46">
        <v>77.185000000000002</v>
      </c>
    </row>
    <row r="380" spans="1:17" s="62" customFormat="1" ht="15.75" x14ac:dyDescent="0.25">
      <c r="A380" s="58"/>
      <c r="B380" s="59" t="s">
        <v>163</v>
      </c>
      <c r="C380" s="64" t="s">
        <v>164</v>
      </c>
      <c r="D380" s="88">
        <f>D372*0.2</f>
        <v>633.6</v>
      </c>
      <c r="E380" s="145">
        <f>E378*D382/100</f>
        <v>0</v>
      </c>
      <c r="F380" s="63"/>
      <c r="I380" s="62">
        <v>22.5</v>
      </c>
      <c r="J380" s="62">
        <v>24</v>
      </c>
      <c r="K380" s="52"/>
      <c r="L380" s="62">
        <v>22.5</v>
      </c>
      <c r="M380" s="46">
        <v>22.5</v>
      </c>
    </row>
    <row r="381" spans="1:17" s="62" customFormat="1" ht="15.75" x14ac:dyDescent="0.25">
      <c r="A381" s="58"/>
      <c r="B381" s="59" t="s">
        <v>165</v>
      </c>
      <c r="C381" s="64" t="s">
        <v>166</v>
      </c>
      <c r="D381" s="86">
        <v>56</v>
      </c>
      <c r="E381" s="145">
        <f>E378+E379+E380</f>
        <v>0</v>
      </c>
      <c r="F381" s="63"/>
      <c r="I381" s="62">
        <v>56</v>
      </c>
      <c r="J381" s="62">
        <v>87</v>
      </c>
      <c r="K381" s="52"/>
      <c r="L381" s="62">
        <v>56</v>
      </c>
      <c r="M381" s="46">
        <v>56</v>
      </c>
    </row>
    <row r="382" spans="1:17" s="62" customFormat="1" ht="15.75" x14ac:dyDescent="0.25">
      <c r="A382" s="58"/>
      <c r="B382" s="59" t="s">
        <v>167</v>
      </c>
      <c r="C382" s="64" t="s">
        <v>166</v>
      </c>
      <c r="D382" s="86">
        <v>61.3</v>
      </c>
      <c r="E382" s="145">
        <f>E381*1.15</f>
        <v>0</v>
      </c>
      <c r="I382" s="62">
        <v>61.3</v>
      </c>
      <c r="J382" s="62">
        <v>44</v>
      </c>
      <c r="K382" s="52"/>
      <c r="L382" s="62">
        <v>61.3</v>
      </c>
      <c r="M382" s="46">
        <v>61.3</v>
      </c>
    </row>
    <row r="383" spans="1:17" s="62" customFormat="1" ht="15.75" x14ac:dyDescent="0.25">
      <c r="A383" s="85"/>
      <c r="B383" s="59" t="s">
        <v>168</v>
      </c>
      <c r="C383" s="64" t="s">
        <v>166</v>
      </c>
      <c r="D383" s="86"/>
      <c r="E383" s="145"/>
      <c r="I383" s="62">
        <v>0</v>
      </c>
      <c r="J383" s="62">
        <v>20</v>
      </c>
      <c r="K383" s="52"/>
      <c r="L383" s="62">
        <v>0</v>
      </c>
      <c r="M383" s="46">
        <v>0</v>
      </c>
    </row>
    <row r="384" spans="1:17" s="62" customFormat="1" ht="15.75" x14ac:dyDescent="0.25">
      <c r="A384" s="58"/>
      <c r="B384" s="59" t="s">
        <v>169</v>
      </c>
      <c r="C384" s="64" t="s">
        <v>166</v>
      </c>
      <c r="D384" s="86">
        <v>15</v>
      </c>
      <c r="I384" s="62">
        <v>15</v>
      </c>
      <c r="J384" s="62">
        <v>15</v>
      </c>
      <c r="K384" s="52"/>
      <c r="L384" s="62">
        <v>15</v>
      </c>
      <c r="M384" s="62">
        <v>15</v>
      </c>
    </row>
    <row r="385" spans="1:13" s="62" customFormat="1" ht="15.75" x14ac:dyDescent="0.25">
      <c r="A385" s="53" t="s">
        <v>207</v>
      </c>
      <c r="B385" s="83" t="s">
        <v>208</v>
      </c>
      <c r="C385" s="55" t="s">
        <v>6</v>
      </c>
      <c r="D385" s="84">
        <f>ROUND((D387*D388+D387*D388*D389/100+D387*D388*D390/100)*1.15,2)</f>
        <v>0</v>
      </c>
      <c r="E385" s="143">
        <f>E390-D385</f>
        <v>0</v>
      </c>
    </row>
    <row r="386" spans="1:13" s="62" customFormat="1" x14ac:dyDescent="0.2">
      <c r="B386" s="59" t="s">
        <v>160</v>
      </c>
      <c r="C386" s="64" t="s">
        <v>161</v>
      </c>
      <c r="D386" s="89">
        <v>1</v>
      </c>
      <c r="E386" s="145">
        <f>D386*D387*D388</f>
        <v>0</v>
      </c>
      <c r="I386" s="62">
        <v>1</v>
      </c>
      <c r="J386" s="62">
        <v>1</v>
      </c>
      <c r="L386" s="62">
        <v>1</v>
      </c>
      <c r="M386" s="62">
        <v>1</v>
      </c>
    </row>
    <row r="387" spans="1:13" s="62" customFormat="1" x14ac:dyDescent="0.2">
      <c r="A387" s="58"/>
      <c r="B387" s="59" t="s">
        <v>162</v>
      </c>
      <c r="C387" s="64" t="s">
        <v>32</v>
      </c>
      <c r="D387" s="146"/>
      <c r="E387" s="145">
        <f>E386*D389/100</f>
        <v>0</v>
      </c>
      <c r="I387" s="62">
        <v>57.23525088697415</v>
      </c>
      <c r="J387" s="62">
        <v>39.217975525114156</v>
      </c>
      <c r="L387" s="62">
        <v>62.225000000000001</v>
      </c>
      <c r="M387" s="62">
        <v>64.239999999999995</v>
      </c>
    </row>
    <row r="388" spans="1:13" s="62" customFormat="1" x14ac:dyDescent="0.2">
      <c r="A388" s="58"/>
      <c r="B388" s="59" t="s">
        <v>163</v>
      </c>
      <c r="C388" s="64" t="s">
        <v>164</v>
      </c>
      <c r="D388" s="88">
        <f>D372*0.2</f>
        <v>633.6</v>
      </c>
      <c r="E388" s="145">
        <f>E386*D390/100</f>
        <v>0</v>
      </c>
      <c r="I388" s="62">
        <v>180</v>
      </c>
      <c r="J388" s="62">
        <v>180</v>
      </c>
      <c r="L388" s="62">
        <v>180</v>
      </c>
      <c r="M388" s="62">
        <v>180</v>
      </c>
    </row>
    <row r="389" spans="1:13" s="62" customFormat="1" x14ac:dyDescent="0.2">
      <c r="A389" s="58"/>
      <c r="B389" s="59" t="s">
        <v>165</v>
      </c>
      <c r="C389" s="64" t="s">
        <v>166</v>
      </c>
      <c r="D389" s="86">
        <v>56</v>
      </c>
      <c r="E389" s="145">
        <f>E386+E387+E388</f>
        <v>0</v>
      </c>
      <c r="I389" s="62">
        <v>42</v>
      </c>
      <c r="J389" s="62">
        <v>72</v>
      </c>
      <c r="L389" s="62">
        <v>42</v>
      </c>
      <c r="M389" s="62">
        <v>42</v>
      </c>
    </row>
    <row r="390" spans="1:13" s="62" customFormat="1" x14ac:dyDescent="0.2">
      <c r="A390" s="58"/>
      <c r="B390" s="59" t="s">
        <v>167</v>
      </c>
      <c r="C390" s="64" t="s">
        <v>166</v>
      </c>
      <c r="D390" s="86">
        <v>61.3</v>
      </c>
      <c r="E390" s="145">
        <f>E389*1.15</f>
        <v>0</v>
      </c>
      <c r="I390" s="62">
        <v>61.3</v>
      </c>
      <c r="J390" s="62">
        <v>44</v>
      </c>
      <c r="L390" s="62">
        <v>61.3</v>
      </c>
      <c r="M390" s="62">
        <v>61.3</v>
      </c>
    </row>
    <row r="391" spans="1:13" s="62" customFormat="1" x14ac:dyDescent="0.2">
      <c r="A391" s="58"/>
      <c r="B391" s="59"/>
      <c r="C391" s="64"/>
      <c r="D391" s="64">
        <v>0</v>
      </c>
      <c r="E391" s="145"/>
    </row>
    <row r="392" spans="1:13" s="62" customFormat="1" x14ac:dyDescent="0.2">
      <c r="A392" s="58"/>
      <c r="B392" s="59" t="s">
        <v>169</v>
      </c>
      <c r="C392" s="64" t="s">
        <v>166</v>
      </c>
      <c r="D392" s="86">
        <v>15</v>
      </c>
      <c r="I392" s="62">
        <v>15</v>
      </c>
      <c r="J392" s="62">
        <v>15</v>
      </c>
      <c r="L392" s="62">
        <v>15</v>
      </c>
      <c r="M392" s="62">
        <v>15</v>
      </c>
    </row>
    <row r="393" spans="1:13" s="62" customFormat="1" ht="15.75" hidden="1" x14ac:dyDescent="0.25">
      <c r="A393" s="53" t="s">
        <v>209</v>
      </c>
      <c r="B393" s="83"/>
      <c r="C393" s="55" t="s">
        <v>6</v>
      </c>
      <c r="D393" s="84"/>
    </row>
    <row r="394" spans="1:13" s="62" customFormat="1" hidden="1" x14ac:dyDescent="0.2">
      <c r="A394" s="58"/>
      <c r="B394" s="59" t="s">
        <v>160</v>
      </c>
      <c r="C394" s="64" t="s">
        <v>161</v>
      </c>
      <c r="D394" s="64"/>
      <c r="I394" s="62">
        <v>4</v>
      </c>
      <c r="J394" s="62">
        <v>4</v>
      </c>
      <c r="L394" s="62">
        <v>4</v>
      </c>
      <c r="M394" s="62">
        <v>4</v>
      </c>
    </row>
    <row r="395" spans="1:13" s="62" customFormat="1" hidden="1" x14ac:dyDescent="0.2">
      <c r="A395" s="58"/>
      <c r="B395" s="59" t="s">
        <v>162</v>
      </c>
      <c r="C395" s="64" t="s">
        <v>32</v>
      </c>
      <c r="D395" s="65"/>
      <c r="I395" s="62">
        <v>57.23525088697415</v>
      </c>
      <c r="J395" s="62">
        <v>39.217975525114156</v>
      </c>
      <c r="L395" s="62">
        <v>62.225000000000001</v>
      </c>
      <c r="M395" s="62">
        <v>64.239999999999995</v>
      </c>
    </row>
    <row r="396" spans="1:13" s="62" customFormat="1" hidden="1" x14ac:dyDescent="0.2">
      <c r="A396" s="58"/>
      <c r="B396" s="59" t="s">
        <v>163</v>
      </c>
      <c r="C396" s="64" t="s">
        <v>164</v>
      </c>
      <c r="D396" s="64"/>
      <c r="I396" s="62">
        <v>720</v>
      </c>
      <c r="J396" s="62">
        <v>720</v>
      </c>
      <c r="L396" s="62">
        <v>720</v>
      </c>
      <c r="M396" s="62">
        <v>720</v>
      </c>
    </row>
    <row r="397" spans="1:13" s="62" customFormat="1" hidden="1" x14ac:dyDescent="0.2">
      <c r="A397" s="58"/>
      <c r="B397" s="59" t="s">
        <v>165</v>
      </c>
      <c r="C397" s="64" t="s">
        <v>166</v>
      </c>
      <c r="D397" s="65"/>
      <c r="I397" s="62">
        <v>42</v>
      </c>
      <c r="J397" s="62">
        <v>72</v>
      </c>
      <c r="L397" s="62">
        <v>42</v>
      </c>
      <c r="M397" s="62">
        <v>42</v>
      </c>
    </row>
    <row r="398" spans="1:13" s="62" customFormat="1" hidden="1" x14ac:dyDescent="0.2">
      <c r="A398" s="58"/>
      <c r="B398" s="59" t="s">
        <v>167</v>
      </c>
      <c r="C398" s="64" t="s">
        <v>166</v>
      </c>
      <c r="D398" s="147"/>
      <c r="I398" s="62">
        <v>61.3</v>
      </c>
      <c r="J398" s="62">
        <v>44</v>
      </c>
      <c r="L398" s="62">
        <v>61.3</v>
      </c>
      <c r="M398" s="62">
        <v>61.3</v>
      </c>
    </row>
    <row r="399" spans="1:13" s="62" customFormat="1" hidden="1" x14ac:dyDescent="0.2">
      <c r="A399" s="58"/>
      <c r="B399" s="59" t="s">
        <v>169</v>
      </c>
      <c r="C399" s="64" t="s">
        <v>166</v>
      </c>
      <c r="D399" s="65"/>
      <c r="I399" s="62">
        <v>15</v>
      </c>
      <c r="J399" s="62">
        <v>15</v>
      </c>
      <c r="L399" s="62">
        <v>15</v>
      </c>
      <c r="M399" s="62">
        <v>15</v>
      </c>
    </row>
    <row r="400" spans="1:13" s="57" customFormat="1" ht="15.75" hidden="1" x14ac:dyDescent="0.25">
      <c r="A400" s="53" t="s">
        <v>172</v>
      </c>
      <c r="B400" s="83"/>
      <c r="C400" s="55" t="s">
        <v>6</v>
      </c>
      <c r="D400" s="84"/>
      <c r="E400" s="57">
        <f>(D402*D403*D401*(D404+100)/100+D401*D402*D403*D405/100)*(100+D406)/100</f>
        <v>0</v>
      </c>
      <c r="F400" s="47"/>
      <c r="I400" s="57">
        <v>0</v>
      </c>
      <c r="J400" s="57">
        <v>0</v>
      </c>
      <c r="L400" s="57">
        <v>0</v>
      </c>
      <c r="M400" s="57">
        <v>0</v>
      </c>
    </row>
    <row r="401" spans="1:13" s="62" customFormat="1" ht="15" hidden="1" customHeight="1" x14ac:dyDescent="0.2">
      <c r="B401" s="59" t="s">
        <v>160</v>
      </c>
      <c r="C401" s="64" t="s">
        <v>161</v>
      </c>
      <c r="D401" s="65"/>
    </row>
    <row r="402" spans="1:13" s="62" customFormat="1" hidden="1" x14ac:dyDescent="0.2">
      <c r="A402" s="58"/>
      <c r="B402" s="59" t="s">
        <v>162</v>
      </c>
      <c r="C402" s="64" t="s">
        <v>32</v>
      </c>
      <c r="D402" s="89"/>
    </row>
    <row r="403" spans="1:13" s="62" customFormat="1" hidden="1" x14ac:dyDescent="0.2">
      <c r="A403" s="58"/>
      <c r="B403" s="59" t="s">
        <v>163</v>
      </c>
      <c r="C403" s="64" t="s">
        <v>164</v>
      </c>
      <c r="D403" s="90"/>
    </row>
    <row r="404" spans="1:13" s="62" customFormat="1" hidden="1" x14ac:dyDescent="0.2">
      <c r="A404" s="58"/>
      <c r="B404" s="59" t="s">
        <v>165</v>
      </c>
      <c r="C404" s="64" t="s">
        <v>166</v>
      </c>
      <c r="D404" s="64"/>
    </row>
    <row r="405" spans="1:13" s="62" customFormat="1" hidden="1" x14ac:dyDescent="0.2">
      <c r="A405" s="58"/>
      <c r="B405" s="59" t="s">
        <v>167</v>
      </c>
      <c r="C405" s="64" t="s">
        <v>166</v>
      </c>
      <c r="D405" s="64"/>
    </row>
    <row r="406" spans="1:13" s="62" customFormat="1" hidden="1" x14ac:dyDescent="0.2">
      <c r="A406" s="58"/>
      <c r="B406" s="59" t="s">
        <v>169</v>
      </c>
      <c r="C406" s="64" t="s">
        <v>166</v>
      </c>
      <c r="D406" s="147"/>
    </row>
    <row r="407" spans="1:13" s="62" customFormat="1" ht="15.75" hidden="1" x14ac:dyDescent="0.25">
      <c r="A407" s="53" t="s">
        <v>173</v>
      </c>
      <c r="B407" s="83"/>
      <c r="C407" s="55" t="s">
        <v>6</v>
      </c>
      <c r="D407" s="84"/>
      <c r="E407" s="57">
        <f>(D409*D410*D408*(D411+100)/100+D408*D409*D410*D413/100)*(100+D421)/100</f>
        <v>0</v>
      </c>
      <c r="F407" s="47"/>
      <c r="I407" s="62">
        <v>0</v>
      </c>
      <c r="J407" s="62">
        <v>0</v>
      </c>
      <c r="L407" s="62">
        <v>0</v>
      </c>
      <c r="M407" s="62">
        <v>0</v>
      </c>
    </row>
    <row r="408" spans="1:13" s="62" customFormat="1" hidden="1" x14ac:dyDescent="0.2">
      <c r="B408" s="59" t="s">
        <v>160</v>
      </c>
      <c r="C408" s="64" t="s">
        <v>161</v>
      </c>
      <c r="D408" s="65"/>
    </row>
    <row r="409" spans="1:13" s="62" customFormat="1" hidden="1" x14ac:dyDescent="0.2">
      <c r="A409" s="58"/>
      <c r="B409" s="59" t="s">
        <v>162</v>
      </c>
      <c r="C409" s="64" t="s">
        <v>32</v>
      </c>
      <c r="D409" s="86"/>
    </row>
    <row r="410" spans="1:13" s="62" customFormat="1" hidden="1" x14ac:dyDescent="0.2">
      <c r="A410" s="58"/>
      <c r="B410" s="59" t="s">
        <v>163</v>
      </c>
      <c r="C410" s="64" t="s">
        <v>164</v>
      </c>
      <c r="D410" s="90"/>
    </row>
    <row r="411" spans="1:13" s="62" customFormat="1" hidden="1" x14ac:dyDescent="0.2">
      <c r="A411" s="58"/>
      <c r="B411" s="59" t="s">
        <v>165</v>
      </c>
      <c r="C411" s="64" t="s">
        <v>166</v>
      </c>
      <c r="D411" s="64"/>
    </row>
    <row r="412" spans="1:13" s="62" customFormat="1" hidden="1" x14ac:dyDescent="0.2">
      <c r="A412" s="58"/>
      <c r="B412" s="59" t="s">
        <v>169</v>
      </c>
      <c r="C412" s="64" t="s">
        <v>166</v>
      </c>
      <c r="D412" s="64"/>
    </row>
    <row r="413" spans="1:13" s="62" customFormat="1" hidden="1" x14ac:dyDescent="0.2">
      <c r="A413" s="58"/>
      <c r="B413" s="59" t="s">
        <v>167</v>
      </c>
      <c r="C413" s="64" t="s">
        <v>166</v>
      </c>
      <c r="D413" s="64"/>
    </row>
    <row r="414" spans="1:13" s="62" customFormat="1" ht="15.75" hidden="1" x14ac:dyDescent="0.25">
      <c r="A414" s="53" t="s">
        <v>174</v>
      </c>
      <c r="B414" s="91"/>
      <c r="C414" s="92"/>
      <c r="D414" s="148"/>
      <c r="I414" s="62">
        <v>0</v>
      </c>
      <c r="J414" s="62">
        <v>0</v>
      </c>
      <c r="L414" s="62">
        <v>0</v>
      </c>
      <c r="M414" s="62">
        <v>0</v>
      </c>
    </row>
    <row r="415" spans="1:13" s="62" customFormat="1" hidden="1" x14ac:dyDescent="0.2">
      <c r="A415" s="58"/>
      <c r="B415" s="59" t="s">
        <v>160</v>
      </c>
      <c r="C415" s="64" t="s">
        <v>161</v>
      </c>
      <c r="D415" s="93"/>
    </row>
    <row r="416" spans="1:13" s="62" customFormat="1" hidden="1" x14ac:dyDescent="0.2">
      <c r="A416" s="58"/>
      <c r="B416" s="59" t="s">
        <v>162</v>
      </c>
      <c r="C416" s="64" t="s">
        <v>32</v>
      </c>
      <c r="D416" s="149"/>
    </row>
    <row r="417" spans="1:13" s="62" customFormat="1" hidden="1" x14ac:dyDescent="0.2">
      <c r="A417" s="58"/>
      <c r="B417" s="59" t="s">
        <v>163</v>
      </c>
      <c r="C417" s="64" t="s">
        <v>164</v>
      </c>
      <c r="D417" s="149"/>
    </row>
    <row r="418" spans="1:13" s="62" customFormat="1" hidden="1" x14ac:dyDescent="0.2">
      <c r="A418" s="58"/>
      <c r="B418" s="59" t="s">
        <v>165</v>
      </c>
      <c r="C418" s="64" t="s">
        <v>166</v>
      </c>
      <c r="D418" s="92"/>
    </row>
    <row r="419" spans="1:13" s="62" customFormat="1" hidden="1" x14ac:dyDescent="0.2">
      <c r="A419" s="58"/>
      <c r="B419" s="59" t="s">
        <v>169</v>
      </c>
      <c r="C419" s="64" t="s">
        <v>166</v>
      </c>
      <c r="D419" s="150"/>
    </row>
    <row r="420" spans="1:13" s="62" customFormat="1" ht="17.25" hidden="1" customHeight="1" x14ac:dyDescent="0.2">
      <c r="A420" s="58"/>
      <c r="B420" s="59" t="s">
        <v>167</v>
      </c>
      <c r="C420" s="64" t="s">
        <v>166</v>
      </c>
      <c r="D420" s="94"/>
    </row>
    <row r="421" spans="1:13" s="62" customFormat="1" ht="18" hidden="1" customHeight="1" x14ac:dyDescent="0.2">
      <c r="A421" s="58"/>
      <c r="B421" s="59" t="s">
        <v>169</v>
      </c>
      <c r="C421" s="64" t="s">
        <v>166</v>
      </c>
      <c r="D421" s="64"/>
      <c r="I421" s="62">
        <v>15</v>
      </c>
      <c r="J421" s="62">
        <v>15</v>
      </c>
      <c r="L421" s="62">
        <v>15</v>
      </c>
      <c r="M421" s="62">
        <v>15</v>
      </c>
    </row>
    <row r="422" spans="1:13" s="52" customFormat="1" ht="27.75" customHeight="1" x14ac:dyDescent="0.25">
      <c r="A422" s="48" t="s">
        <v>175</v>
      </c>
      <c r="B422" s="49" t="s">
        <v>176</v>
      </c>
      <c r="C422" s="50" t="s">
        <v>6</v>
      </c>
      <c r="D422" s="51">
        <f>ROUND(D368*D423/100,2)</f>
        <v>3466263.09</v>
      </c>
      <c r="E422" s="139">
        <f>D368*D423/100-D422</f>
        <v>4.0000025182962418E-4</v>
      </c>
      <c r="I422" s="52">
        <v>2300.0500000000002</v>
      </c>
      <c r="J422" s="52">
        <v>2372.67</v>
      </c>
      <c r="L422" s="52">
        <v>2496.79</v>
      </c>
      <c r="M422" s="52">
        <v>2571.84</v>
      </c>
    </row>
    <row r="423" spans="1:13" s="62" customFormat="1" ht="16.5" customHeight="1" x14ac:dyDescent="0.2">
      <c r="B423" s="59" t="s">
        <v>177</v>
      </c>
      <c r="C423" s="64" t="s">
        <v>166</v>
      </c>
      <c r="D423" s="86">
        <v>31</v>
      </c>
      <c r="I423" s="62">
        <v>31.06</v>
      </c>
      <c r="J423" s="62">
        <v>34.36</v>
      </c>
      <c r="L423" s="62">
        <v>31.07</v>
      </c>
      <c r="M423" s="62">
        <v>31</v>
      </c>
    </row>
    <row r="424" spans="1:13" s="46" customFormat="1" ht="16.5" customHeight="1" x14ac:dyDescent="0.25">
      <c r="A424" s="48" t="s">
        <v>178</v>
      </c>
      <c r="B424" s="49" t="s">
        <v>179</v>
      </c>
      <c r="C424" s="50" t="s">
        <v>6</v>
      </c>
      <c r="D424" s="51">
        <f>ROUND(D368*D425/100,2)</f>
        <v>0</v>
      </c>
      <c r="E424" s="151">
        <f>D368*D425/100-D424</f>
        <v>0</v>
      </c>
      <c r="I424" s="46">
        <v>6146.29</v>
      </c>
      <c r="J424" s="46">
        <v>6467.99</v>
      </c>
      <c r="L424" s="46">
        <v>7939.58</v>
      </c>
      <c r="M424" s="46">
        <v>5240.01</v>
      </c>
    </row>
    <row r="425" spans="1:13" s="62" customFormat="1" ht="15.75" x14ac:dyDescent="0.25">
      <c r="A425" s="85"/>
      <c r="B425" s="59" t="s">
        <v>180</v>
      </c>
      <c r="C425" s="64" t="s">
        <v>166</v>
      </c>
      <c r="D425" s="146"/>
      <c r="I425" s="62">
        <v>83</v>
      </c>
      <c r="J425" s="62">
        <v>93.666452642471711</v>
      </c>
      <c r="L425" s="62">
        <v>98.8</v>
      </c>
      <c r="M425" s="62">
        <v>63.161079351701581</v>
      </c>
    </row>
    <row r="426" spans="1:13" s="46" customFormat="1" ht="17.25" customHeight="1" x14ac:dyDescent="0.25">
      <c r="A426" s="48" t="s">
        <v>181</v>
      </c>
      <c r="B426" s="49" t="s">
        <v>182</v>
      </c>
      <c r="C426" s="50" t="s">
        <v>6</v>
      </c>
      <c r="D426" s="51">
        <f>D427</f>
        <v>0</v>
      </c>
      <c r="I426" s="46">
        <v>121.66</v>
      </c>
      <c r="J426" s="46">
        <v>125.72</v>
      </c>
      <c r="L426" s="46">
        <v>134.25</v>
      </c>
      <c r="M426" s="46">
        <v>100.04</v>
      </c>
    </row>
    <row r="427" spans="1:13" s="46" customFormat="1" ht="17.25" customHeight="1" x14ac:dyDescent="0.25">
      <c r="A427" s="95" t="s">
        <v>183</v>
      </c>
      <c r="B427" s="96" t="s">
        <v>184</v>
      </c>
      <c r="C427" s="97" t="s">
        <v>6</v>
      </c>
      <c r="D427" s="98">
        <f>D428</f>
        <v>0</v>
      </c>
      <c r="I427" s="46">
        <v>121.66</v>
      </c>
      <c r="J427" s="46">
        <v>125.72</v>
      </c>
      <c r="L427" s="46">
        <v>134.25</v>
      </c>
      <c r="M427" s="46">
        <v>100.04</v>
      </c>
    </row>
    <row r="428" spans="1:13" s="57" customFormat="1" ht="17.25" customHeight="1" x14ac:dyDescent="0.25">
      <c r="B428" s="99" t="str">
        <f>[3]проценты!$A$27</f>
        <v>Chevrolet Lacetti (или аналог)</v>
      </c>
      <c r="C428" s="55" t="s">
        <v>6</v>
      </c>
      <c r="D428" s="84">
        <f>ROUND((D429*D430+D431*D432),2)</f>
        <v>0</v>
      </c>
      <c r="E428" s="152"/>
      <c r="I428" s="57">
        <v>121.66</v>
      </c>
      <c r="J428" s="57">
        <v>125.72</v>
      </c>
      <c r="L428" s="57">
        <v>134.25</v>
      </c>
      <c r="M428" s="57">
        <v>100.04</v>
      </c>
    </row>
    <row r="429" spans="1:13" s="62" customFormat="1" ht="17.25" customHeight="1" x14ac:dyDescent="0.25">
      <c r="A429" s="53"/>
      <c r="B429" s="100" t="s">
        <v>185</v>
      </c>
      <c r="C429" s="64" t="s">
        <v>32</v>
      </c>
      <c r="D429" s="147"/>
      <c r="F429" s="63"/>
      <c r="I429" s="62">
        <v>368.68</v>
      </c>
      <c r="J429" s="62">
        <v>340</v>
      </c>
      <c r="K429" s="52"/>
      <c r="L429" s="62">
        <v>406.81</v>
      </c>
      <c r="M429" s="62">
        <v>303.14999999999998</v>
      </c>
    </row>
    <row r="430" spans="1:13" s="62" customFormat="1" ht="17.25" customHeight="1" x14ac:dyDescent="0.25">
      <c r="A430" s="58"/>
      <c r="B430" s="100" t="s">
        <v>186</v>
      </c>
      <c r="C430" s="64" t="s">
        <v>164</v>
      </c>
      <c r="D430" s="90">
        <v>0.80025094918167039</v>
      </c>
      <c r="F430" s="63"/>
      <c r="I430" s="62">
        <v>0.33</v>
      </c>
      <c r="J430" s="62">
        <v>0.3697648318042781</v>
      </c>
      <c r="L430" s="62">
        <v>0.33</v>
      </c>
      <c r="M430" s="62">
        <v>0.33</v>
      </c>
    </row>
    <row r="431" spans="1:13" s="57" customFormat="1" ht="17.25" customHeight="1" x14ac:dyDescent="0.25">
      <c r="A431" s="58"/>
      <c r="B431" s="100" t="s">
        <v>210</v>
      </c>
      <c r="C431" s="64" t="s">
        <v>32</v>
      </c>
      <c r="D431" s="146"/>
      <c r="F431" s="47"/>
      <c r="I431" s="57">
        <v>0</v>
      </c>
      <c r="J431" s="57">
        <v>0</v>
      </c>
      <c r="L431" s="57">
        <v>0</v>
      </c>
      <c r="M431" s="57">
        <v>0</v>
      </c>
    </row>
    <row r="432" spans="1:13" s="62" customFormat="1" ht="17.25" customHeight="1" x14ac:dyDescent="0.25">
      <c r="A432" s="53"/>
      <c r="B432" s="100" t="s">
        <v>211</v>
      </c>
      <c r="C432" s="64" t="s">
        <v>212</v>
      </c>
      <c r="D432" s="90">
        <f>D430*22</f>
        <v>17.60552088199675</v>
      </c>
    </row>
    <row r="433" spans="1:13" s="62" customFormat="1" ht="17.25" hidden="1" customHeight="1" x14ac:dyDescent="0.2">
      <c r="A433" s="58"/>
      <c r="B433" s="100"/>
      <c r="C433" s="64"/>
      <c r="D433" s="90"/>
    </row>
    <row r="434" spans="1:13" s="62" customFormat="1" ht="17.25" hidden="1" customHeight="1" x14ac:dyDescent="0.2">
      <c r="A434" s="58"/>
      <c r="B434" s="100"/>
      <c r="C434" s="64"/>
      <c r="D434" s="90"/>
      <c r="I434" s="62">
        <v>0</v>
      </c>
      <c r="J434" s="62">
        <v>0</v>
      </c>
      <c r="L434" s="62">
        <v>0</v>
      </c>
      <c r="M434" s="62">
        <v>0</v>
      </c>
    </row>
    <row r="435" spans="1:13" s="62" customFormat="1" ht="17.25" hidden="1" customHeight="1" x14ac:dyDescent="0.2">
      <c r="A435" s="58"/>
      <c r="B435" s="100"/>
      <c r="C435" s="64"/>
      <c r="D435" s="90"/>
    </row>
    <row r="436" spans="1:13" s="62" customFormat="1" ht="17.25" hidden="1" customHeight="1" x14ac:dyDescent="0.2">
      <c r="A436" s="58"/>
      <c r="B436" s="100"/>
      <c r="C436" s="64"/>
      <c r="D436" s="90"/>
    </row>
    <row r="437" spans="1:13" s="62" customFormat="1" ht="17.25" customHeight="1" x14ac:dyDescent="0.25">
      <c r="A437" s="48" t="s">
        <v>187</v>
      </c>
      <c r="B437" s="49" t="s">
        <v>190</v>
      </c>
      <c r="C437" s="50" t="s">
        <v>6</v>
      </c>
      <c r="D437" s="105">
        <f>ROUND((D7+D368+D422+D424+D426)*D438/100,2)</f>
        <v>0</v>
      </c>
      <c r="E437" s="153" t="e">
        <f>#REF!*D438/100-D437</f>
        <v>#REF!</v>
      </c>
      <c r="I437" s="62">
        <v>643.96</v>
      </c>
      <c r="J437" s="62">
        <v>720.76</v>
      </c>
      <c r="L437" s="62">
        <v>854.76</v>
      </c>
      <c r="M437" s="62">
        <v>715.72</v>
      </c>
    </row>
    <row r="438" spans="1:13" s="62" customFormat="1" ht="17.25" customHeight="1" x14ac:dyDescent="0.2">
      <c r="A438" s="107"/>
      <c r="B438" s="59" t="s">
        <v>191</v>
      </c>
      <c r="C438" s="64" t="s">
        <v>166</v>
      </c>
      <c r="D438" s="147"/>
      <c r="I438" s="62">
        <v>3.9</v>
      </c>
      <c r="J438" s="62">
        <v>4.3899999999999997</v>
      </c>
      <c r="L438" s="62">
        <v>4.4000000000000004</v>
      </c>
      <c r="M438" s="62">
        <v>4.2</v>
      </c>
    </row>
    <row r="439" spans="1:13" s="104" customFormat="1" ht="17.25" customHeight="1" x14ac:dyDescent="0.25">
      <c r="A439" s="154"/>
      <c r="B439" s="155" t="s">
        <v>192</v>
      </c>
      <c r="C439" s="156" t="s">
        <v>6</v>
      </c>
      <c r="D439" s="105">
        <f>D437+D426+D424+D422+D368+D7</f>
        <v>14647756.93</v>
      </c>
      <c r="E439" s="157" t="e">
        <f>#REF!+D437-D439</f>
        <v>#REF!</v>
      </c>
      <c r="I439" s="104">
        <v>17155.679999999997</v>
      </c>
      <c r="J439" s="104">
        <v>17139.009999999998</v>
      </c>
      <c r="L439" s="104">
        <v>20281.079999999998</v>
      </c>
      <c r="M439" s="104">
        <v>17756.670000000002</v>
      </c>
    </row>
    <row r="440" spans="1:13" s="111" customFormat="1" ht="15.75" hidden="1" customHeight="1" x14ac:dyDescent="0.2">
      <c r="C440" s="112"/>
      <c r="D440" s="112"/>
      <c r="J440" s="111">
        <v>17005.240000000002</v>
      </c>
    </row>
    <row r="441" spans="1:13" s="46" customFormat="1" ht="15" hidden="1" customHeight="1" x14ac:dyDescent="0.3">
      <c r="A441" s="114"/>
      <c r="B441" s="115"/>
      <c r="C441" s="116"/>
      <c r="D441" s="117"/>
      <c r="E441" s="158" t="s">
        <v>213</v>
      </c>
    </row>
    <row r="442" spans="1:13" ht="15.75" hidden="1" x14ac:dyDescent="0.25">
      <c r="A442" s="118"/>
    </row>
    <row r="443" spans="1:13" s="39" customFormat="1" ht="56.25" customHeight="1" x14ac:dyDescent="0.25">
      <c r="A443" s="121"/>
      <c r="B443" s="39" t="s">
        <v>193</v>
      </c>
      <c r="C443" s="137"/>
      <c r="D443" s="123" t="s">
        <v>194</v>
      </c>
    </row>
    <row r="444" spans="1:13" s="125" customFormat="1" ht="55.5" customHeight="1" x14ac:dyDescent="0.25">
      <c r="A444" s="124"/>
      <c r="B444" s="125" t="s">
        <v>195</v>
      </c>
      <c r="C444" s="126"/>
      <c r="D444" s="123" t="s">
        <v>196</v>
      </c>
      <c r="E444" s="119"/>
    </row>
    <row r="445" spans="1:13" s="39" customFormat="1" ht="15.75" x14ac:dyDescent="0.25">
      <c r="A445" s="127"/>
      <c r="C445" s="137"/>
      <c r="D445" s="137"/>
    </row>
    <row r="446" spans="1:13" ht="15.75" x14ac:dyDescent="0.25">
      <c r="A446" s="124"/>
    </row>
    <row r="447" spans="1:13" x14ac:dyDescent="0.2">
      <c r="B447" s="128"/>
    </row>
    <row r="448" spans="1:13" x14ac:dyDescent="0.2">
      <c r="B448" s="128"/>
    </row>
    <row r="449" spans="2:13" x14ac:dyDescent="0.2">
      <c r="D449" s="159"/>
    </row>
    <row r="451" spans="2:13" x14ac:dyDescent="0.2">
      <c r="D451" s="160"/>
    </row>
    <row r="453" spans="2:13" x14ac:dyDescent="0.2">
      <c r="B453" s="129"/>
      <c r="C453" s="129"/>
      <c r="D453" s="129"/>
    </row>
    <row r="454" spans="2:13" x14ac:dyDescent="0.2">
      <c r="B454" s="129"/>
      <c r="C454" s="129"/>
      <c r="D454" s="129"/>
    </row>
    <row r="455" spans="2:13" x14ac:dyDescent="0.2">
      <c r="B455" s="129"/>
      <c r="C455" s="129"/>
      <c r="D455" s="161"/>
    </row>
    <row r="456" spans="2:13" x14ac:dyDescent="0.2">
      <c r="B456" s="129"/>
      <c r="C456" s="129"/>
      <c r="D456" s="130"/>
    </row>
    <row r="457" spans="2:13" ht="15" customHeight="1" x14ac:dyDescent="0.2">
      <c r="B457" s="129"/>
      <c r="C457" s="129"/>
      <c r="D457" s="162"/>
    </row>
    <row r="458" spans="2:13" ht="15" customHeight="1" x14ac:dyDescent="0.25">
      <c r="B458" s="163"/>
      <c r="C458" s="163"/>
      <c r="D458" s="163"/>
      <c r="E458" s="164"/>
      <c r="F458" s="164"/>
      <c r="G458" s="164"/>
      <c r="H458" s="164"/>
      <c r="I458" s="164"/>
      <c r="J458" s="164"/>
      <c r="K458" s="164"/>
      <c r="L458" s="164"/>
      <c r="M458" s="164"/>
    </row>
    <row r="459" spans="2:13" ht="15.75" x14ac:dyDescent="0.2">
      <c r="B459" s="165"/>
      <c r="C459" s="165"/>
      <c r="D459" s="165"/>
      <c r="E459" s="164"/>
      <c r="F459" s="164"/>
      <c r="G459" s="164"/>
      <c r="H459" s="164"/>
      <c r="I459" s="164"/>
      <c r="J459" s="164"/>
      <c r="K459" s="164"/>
      <c r="L459" s="164"/>
      <c r="M459" s="164"/>
    </row>
    <row r="460" spans="2:13" ht="15.75" x14ac:dyDescent="0.2">
      <c r="B460" s="165"/>
      <c r="C460" s="165"/>
      <c r="D460" s="165"/>
      <c r="E460" s="164"/>
      <c r="F460" s="164"/>
      <c r="G460" s="164"/>
      <c r="H460" s="164"/>
      <c r="I460" s="164"/>
      <c r="J460" s="164"/>
      <c r="K460" s="164"/>
      <c r="L460" s="164"/>
      <c r="M460" s="164"/>
    </row>
    <row r="461" spans="2:13" ht="15.75" x14ac:dyDescent="0.2">
      <c r="B461" s="165"/>
      <c r="C461" s="165"/>
      <c r="D461" s="165"/>
      <c r="E461" s="164"/>
      <c r="F461" s="164"/>
      <c r="G461" s="164"/>
      <c r="H461" s="164"/>
      <c r="I461" s="164"/>
      <c r="J461" s="164"/>
      <c r="K461" s="164"/>
      <c r="L461" s="164"/>
      <c r="M461" s="164"/>
    </row>
    <row r="462" spans="2:13" ht="15.75" x14ac:dyDescent="0.2">
      <c r="B462" s="165"/>
      <c r="C462" s="165"/>
      <c r="D462" s="165"/>
      <c r="E462" s="164"/>
      <c r="F462" s="164"/>
      <c r="G462" s="164"/>
      <c r="H462" s="164"/>
      <c r="I462" s="164"/>
      <c r="J462" s="164"/>
      <c r="K462" s="164"/>
      <c r="L462" s="164"/>
      <c r="M462" s="164"/>
    </row>
    <row r="463" spans="2:13" x14ac:dyDescent="0.2">
      <c r="B463" s="166"/>
      <c r="C463" s="167"/>
      <c r="D463" s="168"/>
      <c r="E463" s="164"/>
      <c r="F463" s="164"/>
      <c r="G463" s="164"/>
      <c r="H463" s="164"/>
      <c r="I463" s="164"/>
      <c r="J463" s="164"/>
      <c r="K463" s="164"/>
      <c r="L463" s="164"/>
      <c r="M463" s="164"/>
    </row>
    <row r="464" spans="2:13" x14ac:dyDescent="0.2">
      <c r="B464" s="166"/>
      <c r="C464" s="167"/>
      <c r="D464" s="168"/>
      <c r="E464" s="164"/>
      <c r="F464" s="164"/>
      <c r="G464" s="164"/>
      <c r="H464" s="164"/>
      <c r="I464" s="164"/>
      <c r="J464" s="164"/>
      <c r="K464" s="164"/>
      <c r="L464" s="164"/>
      <c r="M464" s="164"/>
    </row>
    <row r="465" spans="2:13" x14ac:dyDescent="0.2">
      <c r="B465" s="166"/>
      <c r="C465" s="167"/>
      <c r="D465" s="169">
        <f>[4]ПАРАМЕТРЫ!$D$466</f>
        <v>3.7</v>
      </c>
      <c r="E465" s="164"/>
      <c r="F465" s="164"/>
      <c r="G465" s="164"/>
      <c r="H465" s="164"/>
      <c r="I465" s="164"/>
      <c r="J465" s="164"/>
      <c r="K465" s="164"/>
      <c r="L465" s="164"/>
      <c r="M465" s="164"/>
    </row>
    <row r="466" spans="2:13" x14ac:dyDescent="0.2">
      <c r="B466" s="166"/>
      <c r="C466" s="167"/>
      <c r="D466" s="168"/>
      <c r="E466" s="164"/>
      <c r="F466" s="164"/>
      <c r="G466" s="164"/>
      <c r="H466" s="164"/>
      <c r="I466" s="164"/>
      <c r="J466" s="164"/>
      <c r="K466" s="164"/>
      <c r="L466" s="164"/>
      <c r="M466" s="164"/>
    </row>
    <row r="467" spans="2:13" x14ac:dyDescent="0.2">
      <c r="B467" s="166"/>
      <c r="C467" s="167"/>
      <c r="D467" s="168"/>
      <c r="E467" s="164"/>
      <c r="F467" s="164"/>
      <c r="G467" s="164"/>
      <c r="H467" s="164"/>
      <c r="I467" s="164"/>
      <c r="J467" s="164"/>
      <c r="K467" s="164"/>
      <c r="L467" s="164"/>
      <c r="M467" s="164"/>
    </row>
    <row r="468" spans="2:13" x14ac:dyDescent="0.2">
      <c r="B468" s="166"/>
      <c r="C468" s="167"/>
      <c r="D468" s="168"/>
      <c r="E468" s="164"/>
      <c r="F468" s="164"/>
      <c r="G468" s="164"/>
      <c r="H468" s="164"/>
      <c r="I468" s="164"/>
      <c r="J468" s="164"/>
      <c r="K468" s="164"/>
      <c r="L468" s="164"/>
      <c r="M468" s="164"/>
    </row>
    <row r="469" spans="2:13" x14ac:dyDescent="0.2">
      <c r="B469" s="166"/>
      <c r="C469" s="167"/>
      <c r="D469" s="168"/>
      <c r="E469" s="164"/>
      <c r="F469" s="164"/>
      <c r="G469" s="164"/>
      <c r="H469" s="164"/>
      <c r="I469" s="164"/>
      <c r="J469" s="164"/>
      <c r="K469" s="164"/>
      <c r="L469" s="164"/>
      <c r="M469" s="164"/>
    </row>
    <row r="470" spans="2:13" x14ac:dyDescent="0.2">
      <c r="B470" s="166"/>
      <c r="C470" s="167"/>
      <c r="D470" s="168"/>
      <c r="E470" s="164"/>
      <c r="F470" s="164"/>
      <c r="G470" s="164"/>
      <c r="H470" s="164"/>
      <c r="I470" s="164"/>
      <c r="J470" s="164"/>
      <c r="K470" s="164"/>
      <c r="L470" s="164"/>
      <c r="M470" s="164"/>
    </row>
    <row r="471" spans="2:13" x14ac:dyDescent="0.2">
      <c r="B471" s="166"/>
      <c r="C471" s="167"/>
      <c r="D471" s="168"/>
      <c r="E471" s="164"/>
      <c r="F471" s="164"/>
      <c r="G471" s="164"/>
      <c r="H471" s="164"/>
      <c r="I471" s="164"/>
      <c r="J471" s="164"/>
      <c r="K471" s="164"/>
      <c r="L471" s="164"/>
      <c r="M471" s="164"/>
    </row>
    <row r="472" spans="2:13" ht="15.75" x14ac:dyDescent="0.25">
      <c r="B472" s="170"/>
      <c r="C472" s="163"/>
      <c r="D472" s="171"/>
      <c r="E472" s="164"/>
      <c r="F472" s="164"/>
      <c r="G472" s="164"/>
      <c r="H472" s="164"/>
      <c r="I472" s="164"/>
      <c r="J472" s="164"/>
      <c r="K472" s="164"/>
      <c r="L472" s="164"/>
      <c r="M472" s="164"/>
    </row>
    <row r="473" spans="2:13" ht="15.75" x14ac:dyDescent="0.25">
      <c r="B473" s="170"/>
      <c r="C473" s="163"/>
      <c r="D473" s="171"/>
      <c r="E473" s="164"/>
      <c r="F473" s="164"/>
      <c r="G473" s="164"/>
      <c r="H473" s="164"/>
      <c r="I473" s="164"/>
      <c r="J473" s="164"/>
      <c r="K473" s="164"/>
      <c r="L473" s="164"/>
      <c r="M473" s="164"/>
    </row>
    <row r="474" spans="2:13" ht="15.75" x14ac:dyDescent="0.25">
      <c r="B474" s="170"/>
      <c r="C474" s="163"/>
      <c r="D474" s="171"/>
      <c r="E474" s="164"/>
      <c r="F474" s="164"/>
      <c r="G474" s="164"/>
      <c r="H474" s="164"/>
      <c r="I474" s="164"/>
      <c r="J474" s="164"/>
      <c r="K474" s="164"/>
      <c r="L474" s="164"/>
      <c r="M474" s="164"/>
    </row>
    <row r="475" spans="2:13" ht="15.75" x14ac:dyDescent="0.25">
      <c r="B475" s="170"/>
      <c r="C475" s="163"/>
      <c r="D475" s="171"/>
      <c r="E475" s="164"/>
      <c r="F475" s="164"/>
      <c r="G475" s="164"/>
      <c r="H475" s="164"/>
      <c r="I475" s="164"/>
      <c r="J475" s="164"/>
      <c r="K475" s="164"/>
      <c r="L475" s="164"/>
      <c r="M475" s="164"/>
    </row>
    <row r="476" spans="2:13" ht="15.75" x14ac:dyDescent="0.25">
      <c r="B476" s="170"/>
      <c r="C476" s="163"/>
      <c r="D476" s="171"/>
      <c r="E476" s="164"/>
      <c r="F476" s="164"/>
      <c r="G476" s="164"/>
      <c r="H476" s="164"/>
      <c r="I476" s="164"/>
      <c r="J476" s="164"/>
      <c r="K476" s="164"/>
      <c r="L476" s="164"/>
      <c r="M476" s="164"/>
    </row>
    <row r="477" spans="2:13" ht="15.75" x14ac:dyDescent="0.25">
      <c r="B477" s="172"/>
      <c r="C477" s="163"/>
      <c r="D477" s="171"/>
      <c r="E477" s="164"/>
      <c r="F477" s="164"/>
      <c r="G477" s="164"/>
      <c r="H477" s="164"/>
      <c r="I477" s="164"/>
      <c r="J477" s="164"/>
      <c r="K477" s="164"/>
      <c r="L477" s="164"/>
      <c r="M477" s="164"/>
    </row>
    <row r="478" spans="2:13" ht="15.75" x14ac:dyDescent="0.25">
      <c r="B478" s="172"/>
      <c r="C478" s="173"/>
      <c r="D478" s="174"/>
      <c r="E478" s="164"/>
      <c r="F478" s="164"/>
      <c r="G478" s="164"/>
      <c r="H478" s="164"/>
      <c r="I478" s="164"/>
      <c r="J478" s="164"/>
      <c r="K478" s="164"/>
      <c r="L478" s="164"/>
      <c r="M478" s="164"/>
    </row>
    <row r="479" spans="2:13" x14ac:dyDescent="0.2">
      <c r="B479" s="164"/>
      <c r="C479" s="167"/>
      <c r="D479" s="167"/>
      <c r="E479" s="164"/>
      <c r="F479" s="164"/>
      <c r="G479" s="164"/>
      <c r="H479" s="164"/>
      <c r="I479" s="164"/>
      <c r="J479" s="164"/>
      <c r="K479" s="164"/>
      <c r="L479" s="164"/>
      <c r="M479" s="164"/>
    </row>
    <row r="480" spans="2:13" x14ac:dyDescent="0.2">
      <c r="B480" s="164"/>
      <c r="C480" s="167"/>
      <c r="D480" s="167"/>
      <c r="E480" s="164"/>
      <c r="F480" s="164"/>
      <c r="G480" s="164"/>
      <c r="H480" s="164"/>
      <c r="I480" s="164"/>
      <c r="J480" s="164"/>
      <c r="K480" s="164"/>
      <c r="L480" s="164"/>
      <c r="M480" s="164"/>
    </row>
    <row r="481" spans="2:13" x14ac:dyDescent="0.2">
      <c r="B481" s="164"/>
      <c r="C481" s="167"/>
      <c r="D481" s="167"/>
      <c r="E481" s="164"/>
      <c r="F481" s="164"/>
      <c r="G481" s="164"/>
      <c r="H481" s="164"/>
      <c r="I481" s="164"/>
      <c r="J481" s="164"/>
      <c r="K481" s="164"/>
      <c r="L481" s="164"/>
      <c r="M481" s="164"/>
    </row>
    <row r="482" spans="2:13" x14ac:dyDescent="0.2">
      <c r="B482" s="164"/>
      <c r="C482" s="167"/>
      <c r="D482" s="167"/>
      <c r="E482" s="164"/>
      <c r="F482" s="164"/>
      <c r="G482" s="164"/>
      <c r="H482" s="164"/>
      <c r="I482" s="164"/>
      <c r="J482" s="164"/>
      <c r="K482" s="164"/>
      <c r="L482" s="164"/>
      <c r="M482" s="164"/>
    </row>
  </sheetData>
  <mergeCells count="6">
    <mergeCell ref="A1:D1"/>
    <mergeCell ref="A2:J2"/>
    <mergeCell ref="A5:A6"/>
    <mergeCell ref="B5:B6"/>
    <mergeCell ref="C5:C6"/>
    <mergeCell ref="D5:D6"/>
  </mergeCells>
  <printOptions horizontalCentered="1"/>
  <pageMargins left="0" right="0" top="0" bottom="0" header="0" footer="0"/>
  <pageSetup paperSize="9" scale="75" orientation="portrait" blackAndWhite="1" r:id="rId1"/>
  <headerFooter alignWithMargins="0"/>
  <rowBreaks count="1" manualBreakCount="1">
    <brk id="262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F23" sqref="F23"/>
    </sheetView>
  </sheetViews>
  <sheetFormatPr defaultRowHeight="15" x14ac:dyDescent="0.25"/>
  <cols>
    <col min="1" max="1" width="6.7109375" customWidth="1"/>
    <col min="2" max="2" width="73.85546875" customWidth="1"/>
    <col min="3" max="3" width="10.42578125" customWidth="1"/>
    <col min="4" max="4" width="16.7109375" customWidth="1"/>
    <col min="5" max="5" width="17" customWidth="1"/>
    <col min="6" max="6" width="14.28515625" customWidth="1"/>
  </cols>
  <sheetData>
    <row r="1" spans="1:6" ht="33.75" x14ac:dyDescent="0.25">
      <c r="A1" s="1" t="s">
        <v>0</v>
      </c>
      <c r="B1" s="1" t="s">
        <v>1</v>
      </c>
      <c r="C1" s="1" t="s">
        <v>2</v>
      </c>
      <c r="D1" s="1" t="s">
        <v>231</v>
      </c>
      <c r="E1" s="1" t="s">
        <v>232</v>
      </c>
      <c r="F1" s="1" t="s">
        <v>3</v>
      </c>
    </row>
    <row r="2" spans="1:6" x14ac:dyDescent="0.25">
      <c r="A2" s="2" t="s">
        <v>4</v>
      </c>
      <c r="B2" s="3" t="s">
        <v>5</v>
      </c>
      <c r="C2" s="4" t="s">
        <v>197</v>
      </c>
      <c r="D2" s="5"/>
      <c r="E2" s="6">
        <f>SUM(E3:E4)</f>
        <v>0</v>
      </c>
      <c r="F2" s="6">
        <f>E2-D2</f>
        <v>0</v>
      </c>
    </row>
    <row r="3" spans="1:6" x14ac:dyDescent="0.25">
      <c r="A3" s="7"/>
      <c r="B3" s="8"/>
      <c r="C3" s="7"/>
      <c r="D3" s="135"/>
      <c r="E3" s="136"/>
      <c r="F3" s="10">
        <f>E3-D3</f>
        <v>0</v>
      </c>
    </row>
    <row r="4" spans="1:6" x14ac:dyDescent="0.25">
      <c r="A4" s="7"/>
      <c r="B4" s="8"/>
      <c r="C4" s="7"/>
      <c r="D4" s="9"/>
      <c r="E4" s="136"/>
      <c r="F4" s="10">
        <f t="shared" ref="F4" si="0">E4-D4</f>
        <v>0</v>
      </c>
    </row>
    <row r="5" spans="1:6" x14ac:dyDescent="0.25">
      <c r="A5" s="2" t="s">
        <v>7</v>
      </c>
      <c r="B5" s="3" t="s">
        <v>253</v>
      </c>
      <c r="C5" s="4"/>
      <c r="D5" s="6">
        <f>D6+D9</f>
        <v>-389.89031497814625</v>
      </c>
      <c r="E5" s="6">
        <f>E6+E9</f>
        <v>0</v>
      </c>
      <c r="F5" s="6">
        <f>E5-D5</f>
        <v>389.89031497814625</v>
      </c>
    </row>
    <row r="6" spans="1:6" x14ac:dyDescent="0.25">
      <c r="A6" s="7" t="s">
        <v>8</v>
      </c>
      <c r="B6" s="179" t="s">
        <v>215</v>
      </c>
      <c r="C6" s="4" t="s">
        <v>198</v>
      </c>
      <c r="D6" s="136">
        <f>-D8*D9*D10*D7/1000</f>
        <v>-395.89031497814625</v>
      </c>
      <c r="E6" s="136"/>
      <c r="F6" s="10">
        <f>E6-D6</f>
        <v>395.89031497814625</v>
      </c>
    </row>
    <row r="7" spans="1:6" x14ac:dyDescent="0.25">
      <c r="A7" s="7"/>
      <c r="B7" s="179" t="s">
        <v>250</v>
      </c>
      <c r="C7" s="4" t="s">
        <v>38</v>
      </c>
      <c r="D7" s="136">
        <v>4</v>
      </c>
      <c r="E7" s="136"/>
      <c r="F7" s="10">
        <v>-4</v>
      </c>
    </row>
    <row r="8" spans="1:6" x14ac:dyDescent="0.25">
      <c r="A8" s="175" t="s">
        <v>223</v>
      </c>
      <c r="B8" s="179" t="s">
        <v>216</v>
      </c>
      <c r="C8" s="4" t="s">
        <v>217</v>
      </c>
      <c r="D8" s="136">
        <v>4</v>
      </c>
      <c r="E8" s="136"/>
      <c r="F8" s="10">
        <f t="shared" ref="F8:F10" si="1">E8-D8</f>
        <v>-4</v>
      </c>
    </row>
    <row r="9" spans="1:6" x14ac:dyDescent="0.25">
      <c r="A9" s="7" t="s">
        <v>224</v>
      </c>
      <c r="B9" s="179" t="s">
        <v>218</v>
      </c>
      <c r="C9" s="4" t="s">
        <v>219</v>
      </c>
      <c r="D9" s="136">
        <v>6</v>
      </c>
      <c r="E9" s="136"/>
      <c r="F9" s="10">
        <f t="shared" si="1"/>
        <v>-6</v>
      </c>
    </row>
    <row r="10" spans="1:6" x14ac:dyDescent="0.25">
      <c r="A10" s="7" t="s">
        <v>225</v>
      </c>
      <c r="B10" s="179" t="s">
        <v>220</v>
      </c>
      <c r="C10" s="4" t="s">
        <v>221</v>
      </c>
      <c r="D10" s="136">
        <v>4123.8574476890235</v>
      </c>
      <c r="E10" s="136"/>
      <c r="F10" s="10">
        <f t="shared" si="1"/>
        <v>-4123.8574476890235</v>
      </c>
    </row>
    <row r="11" spans="1:6" x14ac:dyDescent="0.25">
      <c r="A11" s="2" t="s">
        <v>200</v>
      </c>
      <c r="B11" s="3" t="s">
        <v>252</v>
      </c>
      <c r="C11" s="4" t="s">
        <v>198</v>
      </c>
      <c r="D11" s="6">
        <f>D12</f>
        <v>1268.9800611000994</v>
      </c>
      <c r="E11" s="6">
        <f>E12+E15+E18+E19</f>
        <v>0</v>
      </c>
      <c r="F11" s="6">
        <f>D11-E11</f>
        <v>1268.9800611000994</v>
      </c>
    </row>
    <row r="12" spans="1:6" x14ac:dyDescent="0.25">
      <c r="A12" s="7" t="s">
        <v>222</v>
      </c>
      <c r="B12" s="179" t="s">
        <v>251</v>
      </c>
      <c r="C12" s="4" t="s">
        <v>198</v>
      </c>
      <c r="D12" s="136">
        <f>D15*D18*D21*D13/1000+D16*D13*D19*D22/1000</f>
        <v>1268.9800611000994</v>
      </c>
      <c r="E12" s="136"/>
      <c r="F12" s="10">
        <f>D12-E12</f>
        <v>1268.9800611000994</v>
      </c>
    </row>
    <row r="13" spans="1:6" x14ac:dyDescent="0.25">
      <c r="A13" s="7" t="s">
        <v>238</v>
      </c>
      <c r="B13" s="179" t="s">
        <v>250</v>
      </c>
      <c r="C13" s="4" t="s">
        <v>38</v>
      </c>
      <c r="D13" s="136">
        <v>4</v>
      </c>
      <c r="E13" s="136"/>
      <c r="F13" s="10">
        <v>-4</v>
      </c>
    </row>
    <row r="14" spans="1:6" x14ac:dyDescent="0.25">
      <c r="A14" s="7" t="s">
        <v>238</v>
      </c>
      <c r="B14" s="177" t="s">
        <v>243</v>
      </c>
      <c r="C14" s="4"/>
      <c r="D14" s="136"/>
      <c r="E14" s="136"/>
      <c r="F14" s="10"/>
    </row>
    <row r="15" spans="1:6" x14ac:dyDescent="0.25">
      <c r="A15" s="7" t="s">
        <v>239</v>
      </c>
      <c r="B15" s="179" t="s">
        <v>245</v>
      </c>
      <c r="C15" s="4" t="s">
        <v>226</v>
      </c>
      <c r="D15" s="136">
        <v>32.68</v>
      </c>
      <c r="E15" s="136"/>
      <c r="F15" s="10">
        <f>E15-D15</f>
        <v>-32.68</v>
      </c>
    </row>
    <row r="16" spans="1:6" x14ac:dyDescent="0.25">
      <c r="A16" s="7" t="s">
        <v>240</v>
      </c>
      <c r="B16" s="179" t="s">
        <v>244</v>
      </c>
      <c r="C16" s="4" t="s">
        <v>226</v>
      </c>
      <c r="D16" s="136">
        <v>165.05</v>
      </c>
      <c r="E16" s="136"/>
      <c r="F16" s="10">
        <f>E16-D16</f>
        <v>-165.05</v>
      </c>
    </row>
    <row r="17" spans="1:6" x14ac:dyDescent="0.25">
      <c r="A17" s="7" t="s">
        <v>235</v>
      </c>
      <c r="B17" s="177" t="s">
        <v>254</v>
      </c>
      <c r="C17" s="4"/>
      <c r="D17" s="136"/>
      <c r="E17" s="136"/>
      <c r="F17" s="10"/>
    </row>
    <row r="18" spans="1:6" ht="17.25" customHeight="1" x14ac:dyDescent="0.25">
      <c r="A18" s="7" t="s">
        <v>236</v>
      </c>
      <c r="B18" s="179" t="s">
        <v>242</v>
      </c>
      <c r="C18" s="4" t="s">
        <v>255</v>
      </c>
      <c r="D18" s="176">
        <v>0.2</v>
      </c>
      <c r="E18" s="136"/>
      <c r="F18" s="181">
        <f>E18-D18</f>
        <v>-0.2</v>
      </c>
    </row>
    <row r="19" spans="1:6" x14ac:dyDescent="0.25">
      <c r="A19" s="7" t="s">
        <v>237</v>
      </c>
      <c r="B19" s="179" t="s">
        <v>241</v>
      </c>
      <c r="C19" s="4" t="s">
        <v>249</v>
      </c>
      <c r="D19" s="136">
        <v>12</v>
      </c>
      <c r="E19" s="136"/>
      <c r="F19" s="10">
        <f>E19-D19</f>
        <v>-12</v>
      </c>
    </row>
    <row r="20" spans="1:6" x14ac:dyDescent="0.25">
      <c r="A20" s="180" t="s">
        <v>246</v>
      </c>
      <c r="B20" s="177" t="s">
        <v>234</v>
      </c>
      <c r="C20" s="4"/>
      <c r="D20" s="136"/>
      <c r="E20" s="136"/>
      <c r="F20" s="10"/>
    </row>
    <row r="21" spans="1:6" x14ac:dyDescent="0.25">
      <c r="A21" s="7" t="s">
        <v>247</v>
      </c>
      <c r="B21" s="179" t="s">
        <v>227</v>
      </c>
      <c r="C21" s="4" t="s">
        <v>229</v>
      </c>
      <c r="D21" s="176">
        <v>46635.196286185361</v>
      </c>
      <c r="E21" s="136"/>
      <c r="F21" s="10"/>
    </row>
    <row r="22" spans="1:6" x14ac:dyDescent="0.25">
      <c r="A22" s="7" t="s">
        <v>248</v>
      </c>
      <c r="B22" s="179" t="s">
        <v>228</v>
      </c>
      <c r="C22" s="4" t="s">
        <v>230</v>
      </c>
      <c r="D22" s="176">
        <v>6.279598277550912</v>
      </c>
      <c r="E22" s="136"/>
      <c r="F22" s="10"/>
    </row>
    <row r="23" spans="1:6" x14ac:dyDescent="0.25">
      <c r="A23" s="2" t="s">
        <v>201</v>
      </c>
      <c r="B23" s="3" t="s">
        <v>9</v>
      </c>
      <c r="C23" s="4" t="s">
        <v>199</v>
      </c>
      <c r="D23" s="178">
        <f>D5-D11</f>
        <v>-1658.8703760782457</v>
      </c>
      <c r="E23" s="6">
        <f>E5+E2+E11</f>
        <v>0</v>
      </c>
      <c r="F23" s="178">
        <f>E23-D23</f>
        <v>1658.8703760782457</v>
      </c>
    </row>
    <row r="31" spans="1:6" x14ac:dyDescent="0.25">
      <c r="B31" s="38"/>
      <c r="C31" s="38" t="s">
        <v>233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zoomScaleNormal="100" workbookViewId="0">
      <selection activeCell="E18" sqref="E18"/>
    </sheetView>
  </sheetViews>
  <sheetFormatPr defaultRowHeight="15" x14ac:dyDescent="0.25"/>
  <cols>
    <col min="1" max="1" width="16.5703125" customWidth="1"/>
    <col min="2" max="2" width="47.5703125" customWidth="1"/>
    <col min="3" max="3" width="14.85546875" customWidth="1"/>
    <col min="4" max="4" width="15.7109375" customWidth="1"/>
    <col min="5" max="5" width="26.28515625" customWidth="1"/>
  </cols>
  <sheetData>
    <row r="1" spans="1:5" ht="38.25" x14ac:dyDescent="0.25">
      <c r="A1" s="182" t="s">
        <v>256</v>
      </c>
      <c r="B1" s="183" t="s">
        <v>257</v>
      </c>
      <c r="C1" s="184" t="s">
        <v>258</v>
      </c>
      <c r="D1" s="184" t="s">
        <v>259</v>
      </c>
      <c r="E1" s="184" t="s">
        <v>260</v>
      </c>
    </row>
    <row r="2" spans="1:5" ht="23.25" x14ac:dyDescent="0.25">
      <c r="A2" s="185" t="s">
        <v>4</v>
      </c>
      <c r="B2" s="186" t="s">
        <v>261</v>
      </c>
      <c r="C2" s="187"/>
      <c r="D2" s="187"/>
      <c r="E2" s="187"/>
    </row>
    <row r="3" spans="1:5" ht="25.5" x14ac:dyDescent="0.25">
      <c r="A3" s="188">
        <v>45292</v>
      </c>
      <c r="B3" s="189" t="s">
        <v>262</v>
      </c>
      <c r="C3" s="190" t="s">
        <v>38</v>
      </c>
      <c r="D3" s="190">
        <v>48</v>
      </c>
      <c r="E3" s="191"/>
    </row>
    <row r="4" spans="1:5" ht="23.25" x14ac:dyDescent="0.25">
      <c r="A4" s="188">
        <v>45323</v>
      </c>
      <c r="B4" s="189" t="s">
        <v>284</v>
      </c>
      <c r="C4" s="190" t="s">
        <v>6</v>
      </c>
      <c r="D4" s="190">
        <v>552.29</v>
      </c>
      <c r="E4" s="192"/>
    </row>
    <row r="5" spans="1:5" ht="25.5" x14ac:dyDescent="0.25">
      <c r="A5" s="188">
        <v>45352</v>
      </c>
      <c r="B5" s="189" t="s">
        <v>263</v>
      </c>
      <c r="C5" s="190" t="s">
        <v>217</v>
      </c>
      <c r="D5" s="190">
        <v>8</v>
      </c>
      <c r="E5" s="191"/>
    </row>
    <row r="6" spans="1:5" ht="25.5" x14ac:dyDescent="0.25">
      <c r="A6" s="188">
        <v>45383</v>
      </c>
      <c r="B6" s="189" t="s">
        <v>264</v>
      </c>
      <c r="C6" s="190" t="s">
        <v>265</v>
      </c>
      <c r="D6" s="190">
        <v>2</v>
      </c>
      <c r="E6" s="193"/>
    </row>
    <row r="7" spans="1:5" ht="25.5" x14ac:dyDescent="0.25">
      <c r="A7" s="194">
        <v>45413</v>
      </c>
      <c r="B7" s="195" t="s">
        <v>266</v>
      </c>
      <c r="C7" s="196" t="s">
        <v>198</v>
      </c>
      <c r="D7" s="197">
        <v>424.1</v>
      </c>
      <c r="E7" s="193"/>
    </row>
    <row r="8" spans="1:5" ht="38.25" x14ac:dyDescent="0.25">
      <c r="A8" s="188">
        <v>45444</v>
      </c>
      <c r="B8" s="189" t="s">
        <v>267</v>
      </c>
      <c r="C8" s="198" t="s">
        <v>212</v>
      </c>
      <c r="D8" s="190" t="s">
        <v>268</v>
      </c>
      <c r="E8" s="193"/>
    </row>
    <row r="9" spans="1:5" ht="23.25" x14ac:dyDescent="0.25">
      <c r="A9" s="188">
        <v>45474</v>
      </c>
      <c r="B9" s="189" t="s">
        <v>269</v>
      </c>
      <c r="C9" s="190" t="s">
        <v>6</v>
      </c>
      <c r="D9" s="190" t="s">
        <v>270</v>
      </c>
      <c r="E9" s="193"/>
    </row>
    <row r="10" spans="1:5" ht="23.25" x14ac:dyDescent="0.25">
      <c r="A10" s="188">
        <v>45505</v>
      </c>
      <c r="B10" s="189" t="s">
        <v>271</v>
      </c>
      <c r="C10" s="190" t="s">
        <v>6</v>
      </c>
      <c r="D10" s="199">
        <v>43252</v>
      </c>
      <c r="E10" s="193"/>
    </row>
    <row r="11" spans="1:5" ht="23.25" x14ac:dyDescent="0.25">
      <c r="A11" s="194">
        <v>45536</v>
      </c>
      <c r="B11" s="195" t="s">
        <v>272</v>
      </c>
      <c r="C11" s="197" t="s">
        <v>198</v>
      </c>
      <c r="D11" s="197">
        <v>134.1</v>
      </c>
      <c r="E11" s="193"/>
    </row>
    <row r="12" spans="1:5" ht="23.25" x14ac:dyDescent="0.25">
      <c r="A12" s="188">
        <v>45566</v>
      </c>
      <c r="B12" s="189" t="s">
        <v>273</v>
      </c>
      <c r="C12" s="190" t="s">
        <v>274</v>
      </c>
      <c r="D12" s="190" t="s">
        <v>275</v>
      </c>
      <c r="E12" s="193"/>
    </row>
    <row r="13" spans="1:5" x14ac:dyDescent="0.25">
      <c r="A13" s="200">
        <v>45597</v>
      </c>
      <c r="B13" s="201" t="s">
        <v>276</v>
      </c>
      <c r="C13" s="202" t="s">
        <v>198</v>
      </c>
      <c r="D13" s="203" t="s">
        <v>285</v>
      </c>
      <c r="E13" s="191" t="s">
        <v>277</v>
      </c>
    </row>
    <row r="14" spans="1:5" ht="25.5" x14ac:dyDescent="0.25">
      <c r="A14" s="204" t="s">
        <v>7</v>
      </c>
      <c r="B14" s="186" t="s">
        <v>278</v>
      </c>
      <c r="C14" s="187"/>
      <c r="D14" s="187"/>
      <c r="E14" s="187"/>
    </row>
    <row r="15" spans="1:5" x14ac:dyDescent="0.25">
      <c r="A15" s="205">
        <v>45293</v>
      </c>
      <c r="B15" s="189" t="s">
        <v>279</v>
      </c>
      <c r="C15" s="190" t="s">
        <v>280</v>
      </c>
      <c r="D15" s="191" t="s">
        <v>277</v>
      </c>
      <c r="E15" s="190">
        <v>79.099999999999994</v>
      </c>
    </row>
    <row r="16" spans="1:5" ht="25.5" x14ac:dyDescent="0.25">
      <c r="A16" s="190" t="s">
        <v>281</v>
      </c>
      <c r="B16" s="189" t="s">
        <v>262</v>
      </c>
      <c r="C16" s="190" t="s">
        <v>38</v>
      </c>
      <c r="D16" s="191" t="s">
        <v>277</v>
      </c>
      <c r="E16" s="190">
        <v>48</v>
      </c>
    </row>
    <row r="17" spans="1:5" ht="25.5" x14ac:dyDescent="0.25">
      <c r="A17" s="203" t="s">
        <v>282</v>
      </c>
      <c r="B17" s="201" t="s">
        <v>283</v>
      </c>
      <c r="C17" s="202" t="s">
        <v>198</v>
      </c>
      <c r="D17" s="191" t="s">
        <v>277</v>
      </c>
      <c r="E17" s="203">
        <v>114.4</v>
      </c>
    </row>
    <row r="18" spans="1:5" ht="23.25" x14ac:dyDescent="0.25">
      <c r="A18" s="185" t="s">
        <v>200</v>
      </c>
      <c r="B18" s="206" t="s">
        <v>9</v>
      </c>
      <c r="C18" s="207" t="s">
        <v>198</v>
      </c>
      <c r="D18" s="208"/>
      <c r="E18" s="185">
        <v>1756.7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90"/>
  <sheetViews>
    <sheetView view="pageBreakPreview" zoomScale="75" zoomScaleNormal="75" zoomScaleSheetLayoutView="75" workbookViewId="0">
      <pane ySplit="7" topLeftCell="A14" activePane="bottomLeft" state="frozen"/>
      <selection activeCell="F2" sqref="F2"/>
      <selection pane="bottomLeft" activeCell="D469" sqref="D469"/>
    </sheetView>
  </sheetViews>
  <sheetFormatPr defaultRowHeight="15" outlineLevelRow="2" x14ac:dyDescent="0.2"/>
  <cols>
    <col min="1" max="1" width="7.28515625" style="121" customWidth="1"/>
    <col min="2" max="2" width="38.42578125" style="119" customWidth="1"/>
    <col min="3" max="3" width="14.85546875" style="120" customWidth="1"/>
    <col min="4" max="4" width="18" style="120" customWidth="1"/>
    <col min="5" max="5" width="16.140625" style="119" customWidth="1"/>
    <col min="6" max="6" width="76.5703125" style="119" customWidth="1"/>
    <col min="7" max="8" width="9.140625" style="119" customWidth="1"/>
    <col min="9" max="9" width="26.28515625" style="119" customWidth="1"/>
    <col min="10" max="15" width="9.140625" style="119" customWidth="1"/>
    <col min="16" max="256" width="9.140625" style="119"/>
    <col min="257" max="257" width="7.28515625" style="119" customWidth="1"/>
    <col min="258" max="258" width="38.42578125" style="119" customWidth="1"/>
    <col min="259" max="259" width="14.85546875" style="119" customWidth="1"/>
    <col min="260" max="260" width="18" style="119" customWidth="1"/>
    <col min="261" max="261" width="16.140625" style="119" customWidth="1"/>
    <col min="262" max="262" width="76.5703125" style="119" customWidth="1"/>
    <col min="263" max="264" width="9.140625" style="119" customWidth="1"/>
    <col min="265" max="265" width="26.28515625" style="119" customWidth="1"/>
    <col min="266" max="271" width="9.140625" style="119" customWidth="1"/>
    <col min="272" max="512" width="9.140625" style="119"/>
    <col min="513" max="513" width="7.28515625" style="119" customWidth="1"/>
    <col min="514" max="514" width="38.42578125" style="119" customWidth="1"/>
    <col min="515" max="515" width="14.85546875" style="119" customWidth="1"/>
    <col min="516" max="516" width="18" style="119" customWidth="1"/>
    <col min="517" max="517" width="16.140625" style="119" customWidth="1"/>
    <col min="518" max="518" width="76.5703125" style="119" customWidth="1"/>
    <col min="519" max="520" width="9.140625" style="119" customWidth="1"/>
    <col min="521" max="521" width="26.28515625" style="119" customWidth="1"/>
    <col min="522" max="527" width="9.140625" style="119" customWidth="1"/>
    <col min="528" max="768" width="9.140625" style="119"/>
    <col min="769" max="769" width="7.28515625" style="119" customWidth="1"/>
    <col min="770" max="770" width="38.42578125" style="119" customWidth="1"/>
    <col min="771" max="771" width="14.85546875" style="119" customWidth="1"/>
    <col min="772" max="772" width="18" style="119" customWidth="1"/>
    <col min="773" max="773" width="16.140625" style="119" customWidth="1"/>
    <col min="774" max="774" width="76.5703125" style="119" customWidth="1"/>
    <col min="775" max="776" width="9.140625" style="119" customWidth="1"/>
    <col min="777" max="777" width="26.28515625" style="119" customWidth="1"/>
    <col min="778" max="783" width="9.140625" style="119" customWidth="1"/>
    <col min="784" max="1024" width="9.140625" style="119"/>
    <col min="1025" max="1025" width="7.28515625" style="119" customWidth="1"/>
    <col min="1026" max="1026" width="38.42578125" style="119" customWidth="1"/>
    <col min="1027" max="1027" width="14.85546875" style="119" customWidth="1"/>
    <col min="1028" max="1028" width="18" style="119" customWidth="1"/>
    <col min="1029" max="1029" width="16.140625" style="119" customWidth="1"/>
    <col min="1030" max="1030" width="76.5703125" style="119" customWidth="1"/>
    <col min="1031" max="1032" width="9.140625" style="119" customWidth="1"/>
    <col min="1033" max="1033" width="26.28515625" style="119" customWidth="1"/>
    <col min="1034" max="1039" width="9.140625" style="119" customWidth="1"/>
    <col min="1040" max="1280" width="9.140625" style="119"/>
    <col min="1281" max="1281" width="7.28515625" style="119" customWidth="1"/>
    <col min="1282" max="1282" width="38.42578125" style="119" customWidth="1"/>
    <col min="1283" max="1283" width="14.85546875" style="119" customWidth="1"/>
    <col min="1284" max="1284" width="18" style="119" customWidth="1"/>
    <col min="1285" max="1285" width="16.140625" style="119" customWidth="1"/>
    <col min="1286" max="1286" width="76.5703125" style="119" customWidth="1"/>
    <col min="1287" max="1288" width="9.140625" style="119" customWidth="1"/>
    <col min="1289" max="1289" width="26.28515625" style="119" customWidth="1"/>
    <col min="1290" max="1295" width="9.140625" style="119" customWidth="1"/>
    <col min="1296" max="1536" width="9.140625" style="119"/>
    <col min="1537" max="1537" width="7.28515625" style="119" customWidth="1"/>
    <col min="1538" max="1538" width="38.42578125" style="119" customWidth="1"/>
    <col min="1539" max="1539" width="14.85546875" style="119" customWidth="1"/>
    <col min="1540" max="1540" width="18" style="119" customWidth="1"/>
    <col min="1541" max="1541" width="16.140625" style="119" customWidth="1"/>
    <col min="1542" max="1542" width="76.5703125" style="119" customWidth="1"/>
    <col min="1543" max="1544" width="9.140625" style="119" customWidth="1"/>
    <col min="1545" max="1545" width="26.28515625" style="119" customWidth="1"/>
    <col min="1546" max="1551" width="9.140625" style="119" customWidth="1"/>
    <col min="1552" max="1792" width="9.140625" style="119"/>
    <col min="1793" max="1793" width="7.28515625" style="119" customWidth="1"/>
    <col min="1794" max="1794" width="38.42578125" style="119" customWidth="1"/>
    <col min="1795" max="1795" width="14.85546875" style="119" customWidth="1"/>
    <col min="1796" max="1796" width="18" style="119" customWidth="1"/>
    <col min="1797" max="1797" width="16.140625" style="119" customWidth="1"/>
    <col min="1798" max="1798" width="76.5703125" style="119" customWidth="1"/>
    <col min="1799" max="1800" width="9.140625" style="119" customWidth="1"/>
    <col min="1801" max="1801" width="26.28515625" style="119" customWidth="1"/>
    <col min="1802" max="1807" width="9.140625" style="119" customWidth="1"/>
    <col min="1808" max="2048" width="9.140625" style="119"/>
    <col min="2049" max="2049" width="7.28515625" style="119" customWidth="1"/>
    <col min="2050" max="2050" width="38.42578125" style="119" customWidth="1"/>
    <col min="2051" max="2051" width="14.85546875" style="119" customWidth="1"/>
    <col min="2052" max="2052" width="18" style="119" customWidth="1"/>
    <col min="2053" max="2053" width="16.140625" style="119" customWidth="1"/>
    <col min="2054" max="2054" width="76.5703125" style="119" customWidth="1"/>
    <col min="2055" max="2056" width="9.140625" style="119" customWidth="1"/>
    <col min="2057" max="2057" width="26.28515625" style="119" customWidth="1"/>
    <col min="2058" max="2063" width="9.140625" style="119" customWidth="1"/>
    <col min="2064" max="2304" width="9.140625" style="119"/>
    <col min="2305" max="2305" width="7.28515625" style="119" customWidth="1"/>
    <col min="2306" max="2306" width="38.42578125" style="119" customWidth="1"/>
    <col min="2307" max="2307" width="14.85546875" style="119" customWidth="1"/>
    <col min="2308" max="2308" width="18" style="119" customWidth="1"/>
    <col min="2309" max="2309" width="16.140625" style="119" customWidth="1"/>
    <col min="2310" max="2310" width="76.5703125" style="119" customWidth="1"/>
    <col min="2311" max="2312" width="9.140625" style="119" customWidth="1"/>
    <col min="2313" max="2313" width="26.28515625" style="119" customWidth="1"/>
    <col min="2314" max="2319" width="9.140625" style="119" customWidth="1"/>
    <col min="2320" max="2560" width="9.140625" style="119"/>
    <col min="2561" max="2561" width="7.28515625" style="119" customWidth="1"/>
    <col min="2562" max="2562" width="38.42578125" style="119" customWidth="1"/>
    <col min="2563" max="2563" width="14.85546875" style="119" customWidth="1"/>
    <col min="2564" max="2564" width="18" style="119" customWidth="1"/>
    <col min="2565" max="2565" width="16.140625" style="119" customWidth="1"/>
    <col min="2566" max="2566" width="76.5703125" style="119" customWidth="1"/>
    <col min="2567" max="2568" width="9.140625" style="119" customWidth="1"/>
    <col min="2569" max="2569" width="26.28515625" style="119" customWidth="1"/>
    <col min="2570" max="2575" width="9.140625" style="119" customWidth="1"/>
    <col min="2576" max="2816" width="9.140625" style="119"/>
    <col min="2817" max="2817" width="7.28515625" style="119" customWidth="1"/>
    <col min="2818" max="2818" width="38.42578125" style="119" customWidth="1"/>
    <col min="2819" max="2819" width="14.85546875" style="119" customWidth="1"/>
    <col min="2820" max="2820" width="18" style="119" customWidth="1"/>
    <col min="2821" max="2821" width="16.140625" style="119" customWidth="1"/>
    <col min="2822" max="2822" width="76.5703125" style="119" customWidth="1"/>
    <col min="2823" max="2824" width="9.140625" style="119" customWidth="1"/>
    <col min="2825" max="2825" width="26.28515625" style="119" customWidth="1"/>
    <col min="2826" max="2831" width="9.140625" style="119" customWidth="1"/>
    <col min="2832" max="3072" width="9.140625" style="119"/>
    <col min="3073" max="3073" width="7.28515625" style="119" customWidth="1"/>
    <col min="3074" max="3074" width="38.42578125" style="119" customWidth="1"/>
    <col min="3075" max="3075" width="14.85546875" style="119" customWidth="1"/>
    <col min="3076" max="3076" width="18" style="119" customWidth="1"/>
    <col min="3077" max="3077" width="16.140625" style="119" customWidth="1"/>
    <col min="3078" max="3078" width="76.5703125" style="119" customWidth="1"/>
    <col min="3079" max="3080" width="9.140625" style="119" customWidth="1"/>
    <col min="3081" max="3081" width="26.28515625" style="119" customWidth="1"/>
    <col min="3082" max="3087" width="9.140625" style="119" customWidth="1"/>
    <col min="3088" max="3328" width="9.140625" style="119"/>
    <col min="3329" max="3329" width="7.28515625" style="119" customWidth="1"/>
    <col min="3330" max="3330" width="38.42578125" style="119" customWidth="1"/>
    <col min="3331" max="3331" width="14.85546875" style="119" customWidth="1"/>
    <col min="3332" max="3332" width="18" style="119" customWidth="1"/>
    <col min="3333" max="3333" width="16.140625" style="119" customWidth="1"/>
    <col min="3334" max="3334" width="76.5703125" style="119" customWidth="1"/>
    <col min="3335" max="3336" width="9.140625" style="119" customWidth="1"/>
    <col min="3337" max="3337" width="26.28515625" style="119" customWidth="1"/>
    <col min="3338" max="3343" width="9.140625" style="119" customWidth="1"/>
    <col min="3344" max="3584" width="9.140625" style="119"/>
    <col min="3585" max="3585" width="7.28515625" style="119" customWidth="1"/>
    <col min="3586" max="3586" width="38.42578125" style="119" customWidth="1"/>
    <col min="3587" max="3587" width="14.85546875" style="119" customWidth="1"/>
    <col min="3588" max="3588" width="18" style="119" customWidth="1"/>
    <col min="3589" max="3589" width="16.140625" style="119" customWidth="1"/>
    <col min="3590" max="3590" width="76.5703125" style="119" customWidth="1"/>
    <col min="3591" max="3592" width="9.140625" style="119" customWidth="1"/>
    <col min="3593" max="3593" width="26.28515625" style="119" customWidth="1"/>
    <col min="3594" max="3599" width="9.140625" style="119" customWidth="1"/>
    <col min="3600" max="3840" width="9.140625" style="119"/>
    <col min="3841" max="3841" width="7.28515625" style="119" customWidth="1"/>
    <col min="3842" max="3842" width="38.42578125" style="119" customWidth="1"/>
    <col min="3843" max="3843" width="14.85546875" style="119" customWidth="1"/>
    <col min="3844" max="3844" width="18" style="119" customWidth="1"/>
    <col min="3845" max="3845" width="16.140625" style="119" customWidth="1"/>
    <col min="3846" max="3846" width="76.5703125" style="119" customWidth="1"/>
    <col min="3847" max="3848" width="9.140625" style="119" customWidth="1"/>
    <col min="3849" max="3849" width="26.28515625" style="119" customWidth="1"/>
    <col min="3850" max="3855" width="9.140625" style="119" customWidth="1"/>
    <col min="3856" max="4096" width="9.140625" style="119"/>
    <col min="4097" max="4097" width="7.28515625" style="119" customWidth="1"/>
    <col min="4098" max="4098" width="38.42578125" style="119" customWidth="1"/>
    <col min="4099" max="4099" width="14.85546875" style="119" customWidth="1"/>
    <col min="4100" max="4100" width="18" style="119" customWidth="1"/>
    <col min="4101" max="4101" width="16.140625" style="119" customWidth="1"/>
    <col min="4102" max="4102" width="76.5703125" style="119" customWidth="1"/>
    <col min="4103" max="4104" width="9.140625" style="119" customWidth="1"/>
    <col min="4105" max="4105" width="26.28515625" style="119" customWidth="1"/>
    <col min="4106" max="4111" width="9.140625" style="119" customWidth="1"/>
    <col min="4112" max="4352" width="9.140625" style="119"/>
    <col min="4353" max="4353" width="7.28515625" style="119" customWidth="1"/>
    <col min="4354" max="4354" width="38.42578125" style="119" customWidth="1"/>
    <col min="4355" max="4355" width="14.85546875" style="119" customWidth="1"/>
    <col min="4356" max="4356" width="18" style="119" customWidth="1"/>
    <col min="4357" max="4357" width="16.140625" style="119" customWidth="1"/>
    <col min="4358" max="4358" width="76.5703125" style="119" customWidth="1"/>
    <col min="4359" max="4360" width="9.140625" style="119" customWidth="1"/>
    <col min="4361" max="4361" width="26.28515625" style="119" customWidth="1"/>
    <col min="4362" max="4367" width="9.140625" style="119" customWidth="1"/>
    <col min="4368" max="4608" width="9.140625" style="119"/>
    <col min="4609" max="4609" width="7.28515625" style="119" customWidth="1"/>
    <col min="4610" max="4610" width="38.42578125" style="119" customWidth="1"/>
    <col min="4611" max="4611" width="14.85546875" style="119" customWidth="1"/>
    <col min="4612" max="4612" width="18" style="119" customWidth="1"/>
    <col min="4613" max="4613" width="16.140625" style="119" customWidth="1"/>
    <col min="4614" max="4614" width="76.5703125" style="119" customWidth="1"/>
    <col min="4615" max="4616" width="9.140625" style="119" customWidth="1"/>
    <col min="4617" max="4617" width="26.28515625" style="119" customWidth="1"/>
    <col min="4618" max="4623" width="9.140625" style="119" customWidth="1"/>
    <col min="4624" max="4864" width="9.140625" style="119"/>
    <col min="4865" max="4865" width="7.28515625" style="119" customWidth="1"/>
    <col min="4866" max="4866" width="38.42578125" style="119" customWidth="1"/>
    <col min="4867" max="4867" width="14.85546875" style="119" customWidth="1"/>
    <col min="4868" max="4868" width="18" style="119" customWidth="1"/>
    <col min="4869" max="4869" width="16.140625" style="119" customWidth="1"/>
    <col min="4870" max="4870" width="76.5703125" style="119" customWidth="1"/>
    <col min="4871" max="4872" width="9.140625" style="119" customWidth="1"/>
    <col min="4873" max="4873" width="26.28515625" style="119" customWidth="1"/>
    <col min="4874" max="4879" width="9.140625" style="119" customWidth="1"/>
    <col min="4880" max="5120" width="9.140625" style="119"/>
    <col min="5121" max="5121" width="7.28515625" style="119" customWidth="1"/>
    <col min="5122" max="5122" width="38.42578125" style="119" customWidth="1"/>
    <col min="5123" max="5123" width="14.85546875" style="119" customWidth="1"/>
    <col min="5124" max="5124" width="18" style="119" customWidth="1"/>
    <col min="5125" max="5125" width="16.140625" style="119" customWidth="1"/>
    <col min="5126" max="5126" width="76.5703125" style="119" customWidth="1"/>
    <col min="5127" max="5128" width="9.140625" style="119" customWidth="1"/>
    <col min="5129" max="5129" width="26.28515625" style="119" customWidth="1"/>
    <col min="5130" max="5135" width="9.140625" style="119" customWidth="1"/>
    <col min="5136" max="5376" width="9.140625" style="119"/>
    <col min="5377" max="5377" width="7.28515625" style="119" customWidth="1"/>
    <col min="5378" max="5378" width="38.42578125" style="119" customWidth="1"/>
    <col min="5379" max="5379" width="14.85546875" style="119" customWidth="1"/>
    <col min="5380" max="5380" width="18" style="119" customWidth="1"/>
    <col min="5381" max="5381" width="16.140625" style="119" customWidth="1"/>
    <col min="5382" max="5382" width="76.5703125" style="119" customWidth="1"/>
    <col min="5383" max="5384" width="9.140625" style="119" customWidth="1"/>
    <col min="5385" max="5385" width="26.28515625" style="119" customWidth="1"/>
    <col min="5386" max="5391" width="9.140625" style="119" customWidth="1"/>
    <col min="5392" max="5632" width="9.140625" style="119"/>
    <col min="5633" max="5633" width="7.28515625" style="119" customWidth="1"/>
    <col min="5634" max="5634" width="38.42578125" style="119" customWidth="1"/>
    <col min="5635" max="5635" width="14.85546875" style="119" customWidth="1"/>
    <col min="5636" max="5636" width="18" style="119" customWidth="1"/>
    <col min="5637" max="5637" width="16.140625" style="119" customWidth="1"/>
    <col min="5638" max="5638" width="76.5703125" style="119" customWidth="1"/>
    <col min="5639" max="5640" width="9.140625" style="119" customWidth="1"/>
    <col min="5641" max="5641" width="26.28515625" style="119" customWidth="1"/>
    <col min="5642" max="5647" width="9.140625" style="119" customWidth="1"/>
    <col min="5648" max="5888" width="9.140625" style="119"/>
    <col min="5889" max="5889" width="7.28515625" style="119" customWidth="1"/>
    <col min="5890" max="5890" width="38.42578125" style="119" customWidth="1"/>
    <col min="5891" max="5891" width="14.85546875" style="119" customWidth="1"/>
    <col min="5892" max="5892" width="18" style="119" customWidth="1"/>
    <col min="5893" max="5893" width="16.140625" style="119" customWidth="1"/>
    <col min="5894" max="5894" width="76.5703125" style="119" customWidth="1"/>
    <col min="5895" max="5896" width="9.140625" style="119" customWidth="1"/>
    <col min="5897" max="5897" width="26.28515625" style="119" customWidth="1"/>
    <col min="5898" max="5903" width="9.140625" style="119" customWidth="1"/>
    <col min="5904" max="6144" width="9.140625" style="119"/>
    <col min="6145" max="6145" width="7.28515625" style="119" customWidth="1"/>
    <col min="6146" max="6146" width="38.42578125" style="119" customWidth="1"/>
    <col min="6147" max="6147" width="14.85546875" style="119" customWidth="1"/>
    <col min="6148" max="6148" width="18" style="119" customWidth="1"/>
    <col min="6149" max="6149" width="16.140625" style="119" customWidth="1"/>
    <col min="6150" max="6150" width="76.5703125" style="119" customWidth="1"/>
    <col min="6151" max="6152" width="9.140625" style="119" customWidth="1"/>
    <col min="6153" max="6153" width="26.28515625" style="119" customWidth="1"/>
    <col min="6154" max="6159" width="9.140625" style="119" customWidth="1"/>
    <col min="6160" max="6400" width="9.140625" style="119"/>
    <col min="6401" max="6401" width="7.28515625" style="119" customWidth="1"/>
    <col min="6402" max="6402" width="38.42578125" style="119" customWidth="1"/>
    <col min="6403" max="6403" width="14.85546875" style="119" customWidth="1"/>
    <col min="6404" max="6404" width="18" style="119" customWidth="1"/>
    <col min="6405" max="6405" width="16.140625" style="119" customWidth="1"/>
    <col min="6406" max="6406" width="76.5703125" style="119" customWidth="1"/>
    <col min="6407" max="6408" width="9.140625" style="119" customWidth="1"/>
    <col min="6409" max="6409" width="26.28515625" style="119" customWidth="1"/>
    <col min="6410" max="6415" width="9.140625" style="119" customWidth="1"/>
    <col min="6416" max="6656" width="9.140625" style="119"/>
    <col min="6657" max="6657" width="7.28515625" style="119" customWidth="1"/>
    <col min="6658" max="6658" width="38.42578125" style="119" customWidth="1"/>
    <col min="6659" max="6659" width="14.85546875" style="119" customWidth="1"/>
    <col min="6660" max="6660" width="18" style="119" customWidth="1"/>
    <col min="6661" max="6661" width="16.140625" style="119" customWidth="1"/>
    <col min="6662" max="6662" width="76.5703125" style="119" customWidth="1"/>
    <col min="6663" max="6664" width="9.140625" style="119" customWidth="1"/>
    <col min="6665" max="6665" width="26.28515625" style="119" customWidth="1"/>
    <col min="6666" max="6671" width="9.140625" style="119" customWidth="1"/>
    <col min="6672" max="6912" width="9.140625" style="119"/>
    <col min="6913" max="6913" width="7.28515625" style="119" customWidth="1"/>
    <col min="6914" max="6914" width="38.42578125" style="119" customWidth="1"/>
    <col min="6915" max="6915" width="14.85546875" style="119" customWidth="1"/>
    <col min="6916" max="6916" width="18" style="119" customWidth="1"/>
    <col min="6917" max="6917" width="16.140625" style="119" customWidth="1"/>
    <col min="6918" max="6918" width="76.5703125" style="119" customWidth="1"/>
    <col min="6919" max="6920" width="9.140625" style="119" customWidth="1"/>
    <col min="6921" max="6921" width="26.28515625" style="119" customWidth="1"/>
    <col min="6922" max="6927" width="9.140625" style="119" customWidth="1"/>
    <col min="6928" max="7168" width="9.140625" style="119"/>
    <col min="7169" max="7169" width="7.28515625" style="119" customWidth="1"/>
    <col min="7170" max="7170" width="38.42578125" style="119" customWidth="1"/>
    <col min="7171" max="7171" width="14.85546875" style="119" customWidth="1"/>
    <col min="7172" max="7172" width="18" style="119" customWidth="1"/>
    <col min="7173" max="7173" width="16.140625" style="119" customWidth="1"/>
    <col min="7174" max="7174" width="76.5703125" style="119" customWidth="1"/>
    <col min="7175" max="7176" width="9.140625" style="119" customWidth="1"/>
    <col min="7177" max="7177" width="26.28515625" style="119" customWidth="1"/>
    <col min="7178" max="7183" width="9.140625" style="119" customWidth="1"/>
    <col min="7184" max="7424" width="9.140625" style="119"/>
    <col min="7425" max="7425" width="7.28515625" style="119" customWidth="1"/>
    <col min="7426" max="7426" width="38.42578125" style="119" customWidth="1"/>
    <col min="7427" max="7427" width="14.85546875" style="119" customWidth="1"/>
    <col min="7428" max="7428" width="18" style="119" customWidth="1"/>
    <col min="7429" max="7429" width="16.140625" style="119" customWidth="1"/>
    <col min="7430" max="7430" width="76.5703125" style="119" customWidth="1"/>
    <col min="7431" max="7432" width="9.140625" style="119" customWidth="1"/>
    <col min="7433" max="7433" width="26.28515625" style="119" customWidth="1"/>
    <col min="7434" max="7439" width="9.140625" style="119" customWidth="1"/>
    <col min="7440" max="7680" width="9.140625" style="119"/>
    <col min="7681" max="7681" width="7.28515625" style="119" customWidth="1"/>
    <col min="7682" max="7682" width="38.42578125" style="119" customWidth="1"/>
    <col min="7683" max="7683" width="14.85546875" style="119" customWidth="1"/>
    <col min="7684" max="7684" width="18" style="119" customWidth="1"/>
    <col min="7685" max="7685" width="16.140625" style="119" customWidth="1"/>
    <col min="7686" max="7686" width="76.5703125" style="119" customWidth="1"/>
    <col min="7687" max="7688" width="9.140625" style="119" customWidth="1"/>
    <col min="7689" max="7689" width="26.28515625" style="119" customWidth="1"/>
    <col min="7690" max="7695" width="9.140625" style="119" customWidth="1"/>
    <col min="7696" max="7936" width="9.140625" style="119"/>
    <col min="7937" max="7937" width="7.28515625" style="119" customWidth="1"/>
    <col min="7938" max="7938" width="38.42578125" style="119" customWidth="1"/>
    <col min="7939" max="7939" width="14.85546875" style="119" customWidth="1"/>
    <col min="7940" max="7940" width="18" style="119" customWidth="1"/>
    <col min="7941" max="7941" width="16.140625" style="119" customWidth="1"/>
    <col min="7942" max="7942" width="76.5703125" style="119" customWidth="1"/>
    <col min="7943" max="7944" width="9.140625" style="119" customWidth="1"/>
    <col min="7945" max="7945" width="26.28515625" style="119" customWidth="1"/>
    <col min="7946" max="7951" width="9.140625" style="119" customWidth="1"/>
    <col min="7952" max="8192" width="9.140625" style="119"/>
    <col min="8193" max="8193" width="7.28515625" style="119" customWidth="1"/>
    <col min="8194" max="8194" width="38.42578125" style="119" customWidth="1"/>
    <col min="8195" max="8195" width="14.85546875" style="119" customWidth="1"/>
    <col min="8196" max="8196" width="18" style="119" customWidth="1"/>
    <col min="8197" max="8197" width="16.140625" style="119" customWidth="1"/>
    <col min="8198" max="8198" width="76.5703125" style="119" customWidth="1"/>
    <col min="8199" max="8200" width="9.140625" style="119" customWidth="1"/>
    <col min="8201" max="8201" width="26.28515625" style="119" customWidth="1"/>
    <col min="8202" max="8207" width="9.140625" style="119" customWidth="1"/>
    <col min="8208" max="8448" width="9.140625" style="119"/>
    <col min="8449" max="8449" width="7.28515625" style="119" customWidth="1"/>
    <col min="8450" max="8450" width="38.42578125" style="119" customWidth="1"/>
    <col min="8451" max="8451" width="14.85546875" style="119" customWidth="1"/>
    <col min="8452" max="8452" width="18" style="119" customWidth="1"/>
    <col min="8453" max="8453" width="16.140625" style="119" customWidth="1"/>
    <col min="8454" max="8454" width="76.5703125" style="119" customWidth="1"/>
    <col min="8455" max="8456" width="9.140625" style="119" customWidth="1"/>
    <col min="8457" max="8457" width="26.28515625" style="119" customWidth="1"/>
    <col min="8458" max="8463" width="9.140625" style="119" customWidth="1"/>
    <col min="8464" max="8704" width="9.140625" style="119"/>
    <col min="8705" max="8705" width="7.28515625" style="119" customWidth="1"/>
    <col min="8706" max="8706" width="38.42578125" style="119" customWidth="1"/>
    <col min="8707" max="8707" width="14.85546875" style="119" customWidth="1"/>
    <col min="8708" max="8708" width="18" style="119" customWidth="1"/>
    <col min="8709" max="8709" width="16.140625" style="119" customWidth="1"/>
    <col min="8710" max="8710" width="76.5703125" style="119" customWidth="1"/>
    <col min="8711" max="8712" width="9.140625" style="119" customWidth="1"/>
    <col min="8713" max="8713" width="26.28515625" style="119" customWidth="1"/>
    <col min="8714" max="8719" width="9.140625" style="119" customWidth="1"/>
    <col min="8720" max="8960" width="9.140625" style="119"/>
    <col min="8961" max="8961" width="7.28515625" style="119" customWidth="1"/>
    <col min="8962" max="8962" width="38.42578125" style="119" customWidth="1"/>
    <col min="8963" max="8963" width="14.85546875" style="119" customWidth="1"/>
    <col min="8964" max="8964" width="18" style="119" customWidth="1"/>
    <col min="8965" max="8965" width="16.140625" style="119" customWidth="1"/>
    <col min="8966" max="8966" width="76.5703125" style="119" customWidth="1"/>
    <col min="8967" max="8968" width="9.140625" style="119" customWidth="1"/>
    <col min="8969" max="8969" width="26.28515625" style="119" customWidth="1"/>
    <col min="8970" max="8975" width="9.140625" style="119" customWidth="1"/>
    <col min="8976" max="9216" width="9.140625" style="119"/>
    <col min="9217" max="9217" width="7.28515625" style="119" customWidth="1"/>
    <col min="9218" max="9218" width="38.42578125" style="119" customWidth="1"/>
    <col min="9219" max="9219" width="14.85546875" style="119" customWidth="1"/>
    <col min="9220" max="9220" width="18" style="119" customWidth="1"/>
    <col min="9221" max="9221" width="16.140625" style="119" customWidth="1"/>
    <col min="9222" max="9222" width="76.5703125" style="119" customWidth="1"/>
    <col min="9223" max="9224" width="9.140625" style="119" customWidth="1"/>
    <col min="9225" max="9225" width="26.28515625" style="119" customWidth="1"/>
    <col min="9226" max="9231" width="9.140625" style="119" customWidth="1"/>
    <col min="9232" max="9472" width="9.140625" style="119"/>
    <col min="9473" max="9473" width="7.28515625" style="119" customWidth="1"/>
    <col min="9474" max="9474" width="38.42578125" style="119" customWidth="1"/>
    <col min="9475" max="9475" width="14.85546875" style="119" customWidth="1"/>
    <col min="9476" max="9476" width="18" style="119" customWidth="1"/>
    <col min="9477" max="9477" width="16.140625" style="119" customWidth="1"/>
    <col min="9478" max="9478" width="76.5703125" style="119" customWidth="1"/>
    <col min="9479" max="9480" width="9.140625" style="119" customWidth="1"/>
    <col min="9481" max="9481" width="26.28515625" style="119" customWidth="1"/>
    <col min="9482" max="9487" width="9.140625" style="119" customWidth="1"/>
    <col min="9488" max="9728" width="9.140625" style="119"/>
    <col min="9729" max="9729" width="7.28515625" style="119" customWidth="1"/>
    <col min="9730" max="9730" width="38.42578125" style="119" customWidth="1"/>
    <col min="9731" max="9731" width="14.85546875" style="119" customWidth="1"/>
    <col min="9732" max="9732" width="18" style="119" customWidth="1"/>
    <col min="9733" max="9733" width="16.140625" style="119" customWidth="1"/>
    <col min="9734" max="9734" width="76.5703125" style="119" customWidth="1"/>
    <col min="9735" max="9736" width="9.140625" style="119" customWidth="1"/>
    <col min="9737" max="9737" width="26.28515625" style="119" customWidth="1"/>
    <col min="9738" max="9743" width="9.140625" style="119" customWidth="1"/>
    <col min="9744" max="9984" width="9.140625" style="119"/>
    <col min="9985" max="9985" width="7.28515625" style="119" customWidth="1"/>
    <col min="9986" max="9986" width="38.42578125" style="119" customWidth="1"/>
    <col min="9987" max="9987" width="14.85546875" style="119" customWidth="1"/>
    <col min="9988" max="9988" width="18" style="119" customWidth="1"/>
    <col min="9989" max="9989" width="16.140625" style="119" customWidth="1"/>
    <col min="9990" max="9990" width="76.5703125" style="119" customWidth="1"/>
    <col min="9991" max="9992" width="9.140625" style="119" customWidth="1"/>
    <col min="9993" max="9993" width="26.28515625" style="119" customWidth="1"/>
    <col min="9994" max="9999" width="9.140625" style="119" customWidth="1"/>
    <col min="10000" max="10240" width="9.140625" style="119"/>
    <col min="10241" max="10241" width="7.28515625" style="119" customWidth="1"/>
    <col min="10242" max="10242" width="38.42578125" style="119" customWidth="1"/>
    <col min="10243" max="10243" width="14.85546875" style="119" customWidth="1"/>
    <col min="10244" max="10244" width="18" style="119" customWidth="1"/>
    <col min="10245" max="10245" width="16.140625" style="119" customWidth="1"/>
    <col min="10246" max="10246" width="76.5703125" style="119" customWidth="1"/>
    <col min="10247" max="10248" width="9.140625" style="119" customWidth="1"/>
    <col min="10249" max="10249" width="26.28515625" style="119" customWidth="1"/>
    <col min="10250" max="10255" width="9.140625" style="119" customWidth="1"/>
    <col min="10256" max="10496" width="9.140625" style="119"/>
    <col min="10497" max="10497" width="7.28515625" style="119" customWidth="1"/>
    <col min="10498" max="10498" width="38.42578125" style="119" customWidth="1"/>
    <col min="10499" max="10499" width="14.85546875" style="119" customWidth="1"/>
    <col min="10500" max="10500" width="18" style="119" customWidth="1"/>
    <col min="10501" max="10501" width="16.140625" style="119" customWidth="1"/>
    <col min="10502" max="10502" width="76.5703125" style="119" customWidth="1"/>
    <col min="10503" max="10504" width="9.140625" style="119" customWidth="1"/>
    <col min="10505" max="10505" width="26.28515625" style="119" customWidth="1"/>
    <col min="10506" max="10511" width="9.140625" style="119" customWidth="1"/>
    <col min="10512" max="10752" width="9.140625" style="119"/>
    <col min="10753" max="10753" width="7.28515625" style="119" customWidth="1"/>
    <col min="10754" max="10754" width="38.42578125" style="119" customWidth="1"/>
    <col min="10755" max="10755" width="14.85546875" style="119" customWidth="1"/>
    <col min="10756" max="10756" width="18" style="119" customWidth="1"/>
    <col min="10757" max="10757" width="16.140625" style="119" customWidth="1"/>
    <col min="10758" max="10758" width="76.5703125" style="119" customWidth="1"/>
    <col min="10759" max="10760" width="9.140625" style="119" customWidth="1"/>
    <col min="10761" max="10761" width="26.28515625" style="119" customWidth="1"/>
    <col min="10762" max="10767" width="9.140625" style="119" customWidth="1"/>
    <col min="10768" max="11008" width="9.140625" style="119"/>
    <col min="11009" max="11009" width="7.28515625" style="119" customWidth="1"/>
    <col min="11010" max="11010" width="38.42578125" style="119" customWidth="1"/>
    <col min="11011" max="11011" width="14.85546875" style="119" customWidth="1"/>
    <col min="11012" max="11012" width="18" style="119" customWidth="1"/>
    <col min="11013" max="11013" width="16.140625" style="119" customWidth="1"/>
    <col min="11014" max="11014" width="76.5703125" style="119" customWidth="1"/>
    <col min="11015" max="11016" width="9.140625" style="119" customWidth="1"/>
    <col min="11017" max="11017" width="26.28515625" style="119" customWidth="1"/>
    <col min="11018" max="11023" width="9.140625" style="119" customWidth="1"/>
    <col min="11024" max="11264" width="9.140625" style="119"/>
    <col min="11265" max="11265" width="7.28515625" style="119" customWidth="1"/>
    <col min="11266" max="11266" width="38.42578125" style="119" customWidth="1"/>
    <col min="11267" max="11267" width="14.85546875" style="119" customWidth="1"/>
    <col min="11268" max="11268" width="18" style="119" customWidth="1"/>
    <col min="11269" max="11269" width="16.140625" style="119" customWidth="1"/>
    <col min="11270" max="11270" width="76.5703125" style="119" customWidth="1"/>
    <col min="11271" max="11272" width="9.140625" style="119" customWidth="1"/>
    <col min="11273" max="11273" width="26.28515625" style="119" customWidth="1"/>
    <col min="11274" max="11279" width="9.140625" style="119" customWidth="1"/>
    <col min="11280" max="11520" width="9.140625" style="119"/>
    <col min="11521" max="11521" width="7.28515625" style="119" customWidth="1"/>
    <col min="11522" max="11522" width="38.42578125" style="119" customWidth="1"/>
    <col min="11523" max="11523" width="14.85546875" style="119" customWidth="1"/>
    <col min="11524" max="11524" width="18" style="119" customWidth="1"/>
    <col min="11525" max="11525" width="16.140625" style="119" customWidth="1"/>
    <col min="11526" max="11526" width="76.5703125" style="119" customWidth="1"/>
    <col min="11527" max="11528" width="9.140625" style="119" customWidth="1"/>
    <col min="11529" max="11529" width="26.28515625" style="119" customWidth="1"/>
    <col min="11530" max="11535" width="9.140625" style="119" customWidth="1"/>
    <col min="11536" max="11776" width="9.140625" style="119"/>
    <col min="11777" max="11777" width="7.28515625" style="119" customWidth="1"/>
    <col min="11778" max="11778" width="38.42578125" style="119" customWidth="1"/>
    <col min="11779" max="11779" width="14.85546875" style="119" customWidth="1"/>
    <col min="11780" max="11780" width="18" style="119" customWidth="1"/>
    <col min="11781" max="11781" width="16.140625" style="119" customWidth="1"/>
    <col min="11782" max="11782" width="76.5703125" style="119" customWidth="1"/>
    <col min="11783" max="11784" width="9.140625" style="119" customWidth="1"/>
    <col min="11785" max="11785" width="26.28515625" style="119" customWidth="1"/>
    <col min="11786" max="11791" width="9.140625" style="119" customWidth="1"/>
    <col min="11792" max="12032" width="9.140625" style="119"/>
    <col min="12033" max="12033" width="7.28515625" style="119" customWidth="1"/>
    <col min="12034" max="12034" width="38.42578125" style="119" customWidth="1"/>
    <col min="12035" max="12035" width="14.85546875" style="119" customWidth="1"/>
    <col min="12036" max="12036" width="18" style="119" customWidth="1"/>
    <col min="12037" max="12037" width="16.140625" style="119" customWidth="1"/>
    <col min="12038" max="12038" width="76.5703125" style="119" customWidth="1"/>
    <col min="12039" max="12040" width="9.140625" style="119" customWidth="1"/>
    <col min="12041" max="12041" width="26.28515625" style="119" customWidth="1"/>
    <col min="12042" max="12047" width="9.140625" style="119" customWidth="1"/>
    <col min="12048" max="12288" width="9.140625" style="119"/>
    <col min="12289" max="12289" width="7.28515625" style="119" customWidth="1"/>
    <col min="12290" max="12290" width="38.42578125" style="119" customWidth="1"/>
    <col min="12291" max="12291" width="14.85546875" style="119" customWidth="1"/>
    <col min="12292" max="12292" width="18" style="119" customWidth="1"/>
    <col min="12293" max="12293" width="16.140625" style="119" customWidth="1"/>
    <col min="12294" max="12294" width="76.5703125" style="119" customWidth="1"/>
    <col min="12295" max="12296" width="9.140625" style="119" customWidth="1"/>
    <col min="12297" max="12297" width="26.28515625" style="119" customWidth="1"/>
    <col min="12298" max="12303" width="9.140625" style="119" customWidth="1"/>
    <col min="12304" max="12544" width="9.140625" style="119"/>
    <col min="12545" max="12545" width="7.28515625" style="119" customWidth="1"/>
    <col min="12546" max="12546" width="38.42578125" style="119" customWidth="1"/>
    <col min="12547" max="12547" width="14.85546875" style="119" customWidth="1"/>
    <col min="12548" max="12548" width="18" style="119" customWidth="1"/>
    <col min="12549" max="12549" width="16.140625" style="119" customWidth="1"/>
    <col min="12550" max="12550" width="76.5703125" style="119" customWidth="1"/>
    <col min="12551" max="12552" width="9.140625" style="119" customWidth="1"/>
    <col min="12553" max="12553" width="26.28515625" style="119" customWidth="1"/>
    <col min="12554" max="12559" width="9.140625" style="119" customWidth="1"/>
    <col min="12560" max="12800" width="9.140625" style="119"/>
    <col min="12801" max="12801" width="7.28515625" style="119" customWidth="1"/>
    <col min="12802" max="12802" width="38.42578125" style="119" customWidth="1"/>
    <col min="12803" max="12803" width="14.85546875" style="119" customWidth="1"/>
    <col min="12804" max="12804" width="18" style="119" customWidth="1"/>
    <col min="12805" max="12805" width="16.140625" style="119" customWidth="1"/>
    <col min="12806" max="12806" width="76.5703125" style="119" customWidth="1"/>
    <col min="12807" max="12808" width="9.140625" style="119" customWidth="1"/>
    <col min="12809" max="12809" width="26.28515625" style="119" customWidth="1"/>
    <col min="12810" max="12815" width="9.140625" style="119" customWidth="1"/>
    <col min="12816" max="13056" width="9.140625" style="119"/>
    <col min="13057" max="13057" width="7.28515625" style="119" customWidth="1"/>
    <col min="13058" max="13058" width="38.42578125" style="119" customWidth="1"/>
    <col min="13059" max="13059" width="14.85546875" style="119" customWidth="1"/>
    <col min="13060" max="13060" width="18" style="119" customWidth="1"/>
    <col min="13061" max="13061" width="16.140625" style="119" customWidth="1"/>
    <col min="13062" max="13062" width="76.5703125" style="119" customWidth="1"/>
    <col min="13063" max="13064" width="9.140625" style="119" customWidth="1"/>
    <col min="13065" max="13065" width="26.28515625" style="119" customWidth="1"/>
    <col min="13066" max="13071" width="9.140625" style="119" customWidth="1"/>
    <col min="13072" max="13312" width="9.140625" style="119"/>
    <col min="13313" max="13313" width="7.28515625" style="119" customWidth="1"/>
    <col min="13314" max="13314" width="38.42578125" style="119" customWidth="1"/>
    <col min="13315" max="13315" width="14.85546875" style="119" customWidth="1"/>
    <col min="13316" max="13316" width="18" style="119" customWidth="1"/>
    <col min="13317" max="13317" width="16.140625" style="119" customWidth="1"/>
    <col min="13318" max="13318" width="76.5703125" style="119" customWidth="1"/>
    <col min="13319" max="13320" width="9.140625" style="119" customWidth="1"/>
    <col min="13321" max="13321" width="26.28515625" style="119" customWidth="1"/>
    <col min="13322" max="13327" width="9.140625" style="119" customWidth="1"/>
    <col min="13328" max="13568" width="9.140625" style="119"/>
    <col min="13569" max="13569" width="7.28515625" style="119" customWidth="1"/>
    <col min="13570" max="13570" width="38.42578125" style="119" customWidth="1"/>
    <col min="13571" max="13571" width="14.85546875" style="119" customWidth="1"/>
    <col min="13572" max="13572" width="18" style="119" customWidth="1"/>
    <col min="13573" max="13573" width="16.140625" style="119" customWidth="1"/>
    <col min="13574" max="13574" width="76.5703125" style="119" customWidth="1"/>
    <col min="13575" max="13576" width="9.140625" style="119" customWidth="1"/>
    <col min="13577" max="13577" width="26.28515625" style="119" customWidth="1"/>
    <col min="13578" max="13583" width="9.140625" style="119" customWidth="1"/>
    <col min="13584" max="13824" width="9.140625" style="119"/>
    <col min="13825" max="13825" width="7.28515625" style="119" customWidth="1"/>
    <col min="13826" max="13826" width="38.42578125" style="119" customWidth="1"/>
    <col min="13827" max="13827" width="14.85546875" style="119" customWidth="1"/>
    <col min="13828" max="13828" width="18" style="119" customWidth="1"/>
    <col min="13829" max="13829" width="16.140625" style="119" customWidth="1"/>
    <col min="13830" max="13830" width="76.5703125" style="119" customWidth="1"/>
    <col min="13831" max="13832" width="9.140625" style="119" customWidth="1"/>
    <col min="13833" max="13833" width="26.28515625" style="119" customWidth="1"/>
    <col min="13834" max="13839" width="9.140625" style="119" customWidth="1"/>
    <col min="13840" max="14080" width="9.140625" style="119"/>
    <col min="14081" max="14081" width="7.28515625" style="119" customWidth="1"/>
    <col min="14082" max="14082" width="38.42578125" style="119" customWidth="1"/>
    <col min="14083" max="14083" width="14.85546875" style="119" customWidth="1"/>
    <col min="14084" max="14084" width="18" style="119" customWidth="1"/>
    <col min="14085" max="14085" width="16.140625" style="119" customWidth="1"/>
    <col min="14086" max="14086" width="76.5703125" style="119" customWidth="1"/>
    <col min="14087" max="14088" width="9.140625" style="119" customWidth="1"/>
    <col min="14089" max="14089" width="26.28515625" style="119" customWidth="1"/>
    <col min="14090" max="14095" width="9.140625" style="119" customWidth="1"/>
    <col min="14096" max="14336" width="9.140625" style="119"/>
    <col min="14337" max="14337" width="7.28515625" style="119" customWidth="1"/>
    <col min="14338" max="14338" width="38.42578125" style="119" customWidth="1"/>
    <col min="14339" max="14339" width="14.85546875" style="119" customWidth="1"/>
    <col min="14340" max="14340" width="18" style="119" customWidth="1"/>
    <col min="14341" max="14341" width="16.140625" style="119" customWidth="1"/>
    <col min="14342" max="14342" width="76.5703125" style="119" customWidth="1"/>
    <col min="14343" max="14344" width="9.140625" style="119" customWidth="1"/>
    <col min="14345" max="14345" width="26.28515625" style="119" customWidth="1"/>
    <col min="14346" max="14351" width="9.140625" style="119" customWidth="1"/>
    <col min="14352" max="14592" width="9.140625" style="119"/>
    <col min="14593" max="14593" width="7.28515625" style="119" customWidth="1"/>
    <col min="14594" max="14594" width="38.42578125" style="119" customWidth="1"/>
    <col min="14595" max="14595" width="14.85546875" style="119" customWidth="1"/>
    <col min="14596" max="14596" width="18" style="119" customWidth="1"/>
    <col min="14597" max="14597" width="16.140625" style="119" customWidth="1"/>
    <col min="14598" max="14598" width="76.5703125" style="119" customWidth="1"/>
    <col min="14599" max="14600" width="9.140625" style="119" customWidth="1"/>
    <col min="14601" max="14601" width="26.28515625" style="119" customWidth="1"/>
    <col min="14602" max="14607" width="9.140625" style="119" customWidth="1"/>
    <col min="14608" max="14848" width="9.140625" style="119"/>
    <col min="14849" max="14849" width="7.28515625" style="119" customWidth="1"/>
    <col min="14850" max="14850" width="38.42578125" style="119" customWidth="1"/>
    <col min="14851" max="14851" width="14.85546875" style="119" customWidth="1"/>
    <col min="14852" max="14852" width="18" style="119" customWidth="1"/>
    <col min="14853" max="14853" width="16.140625" style="119" customWidth="1"/>
    <col min="14854" max="14854" width="76.5703125" style="119" customWidth="1"/>
    <col min="14855" max="14856" width="9.140625" style="119" customWidth="1"/>
    <col min="14857" max="14857" width="26.28515625" style="119" customWidth="1"/>
    <col min="14858" max="14863" width="9.140625" style="119" customWidth="1"/>
    <col min="14864" max="15104" width="9.140625" style="119"/>
    <col min="15105" max="15105" width="7.28515625" style="119" customWidth="1"/>
    <col min="15106" max="15106" width="38.42578125" style="119" customWidth="1"/>
    <col min="15107" max="15107" width="14.85546875" style="119" customWidth="1"/>
    <col min="15108" max="15108" width="18" style="119" customWidth="1"/>
    <col min="15109" max="15109" width="16.140625" style="119" customWidth="1"/>
    <col min="15110" max="15110" width="76.5703125" style="119" customWidth="1"/>
    <col min="15111" max="15112" width="9.140625" style="119" customWidth="1"/>
    <col min="15113" max="15113" width="26.28515625" style="119" customWidth="1"/>
    <col min="15114" max="15119" width="9.140625" style="119" customWidth="1"/>
    <col min="15120" max="15360" width="9.140625" style="119"/>
    <col min="15361" max="15361" width="7.28515625" style="119" customWidth="1"/>
    <col min="15362" max="15362" width="38.42578125" style="119" customWidth="1"/>
    <col min="15363" max="15363" width="14.85546875" style="119" customWidth="1"/>
    <col min="15364" max="15364" width="18" style="119" customWidth="1"/>
    <col min="15365" max="15365" width="16.140625" style="119" customWidth="1"/>
    <col min="15366" max="15366" width="76.5703125" style="119" customWidth="1"/>
    <col min="15367" max="15368" width="9.140625" style="119" customWidth="1"/>
    <col min="15369" max="15369" width="26.28515625" style="119" customWidth="1"/>
    <col min="15370" max="15375" width="9.140625" style="119" customWidth="1"/>
    <col min="15376" max="15616" width="9.140625" style="119"/>
    <col min="15617" max="15617" width="7.28515625" style="119" customWidth="1"/>
    <col min="15618" max="15618" width="38.42578125" style="119" customWidth="1"/>
    <col min="15619" max="15619" width="14.85546875" style="119" customWidth="1"/>
    <col min="15620" max="15620" width="18" style="119" customWidth="1"/>
    <col min="15621" max="15621" width="16.140625" style="119" customWidth="1"/>
    <col min="15622" max="15622" width="76.5703125" style="119" customWidth="1"/>
    <col min="15623" max="15624" width="9.140625" style="119" customWidth="1"/>
    <col min="15625" max="15625" width="26.28515625" style="119" customWidth="1"/>
    <col min="15626" max="15631" width="9.140625" style="119" customWidth="1"/>
    <col min="15632" max="15872" width="9.140625" style="119"/>
    <col min="15873" max="15873" width="7.28515625" style="119" customWidth="1"/>
    <col min="15874" max="15874" width="38.42578125" style="119" customWidth="1"/>
    <col min="15875" max="15875" width="14.85546875" style="119" customWidth="1"/>
    <col min="15876" max="15876" width="18" style="119" customWidth="1"/>
    <col min="15877" max="15877" width="16.140625" style="119" customWidth="1"/>
    <col min="15878" max="15878" width="76.5703125" style="119" customWidth="1"/>
    <col min="15879" max="15880" width="9.140625" style="119" customWidth="1"/>
    <col min="15881" max="15881" width="26.28515625" style="119" customWidth="1"/>
    <col min="15882" max="15887" width="9.140625" style="119" customWidth="1"/>
    <col min="15888" max="16128" width="9.140625" style="119"/>
    <col min="16129" max="16129" width="7.28515625" style="119" customWidth="1"/>
    <col min="16130" max="16130" width="38.42578125" style="119" customWidth="1"/>
    <col min="16131" max="16131" width="14.85546875" style="119" customWidth="1"/>
    <col min="16132" max="16132" width="18" style="119" customWidth="1"/>
    <col min="16133" max="16133" width="16.140625" style="119" customWidth="1"/>
    <col min="16134" max="16134" width="76.5703125" style="119" customWidth="1"/>
    <col min="16135" max="16136" width="9.140625" style="119" customWidth="1"/>
    <col min="16137" max="16137" width="26.28515625" style="119" customWidth="1"/>
    <col min="16138" max="16143" width="9.140625" style="119" customWidth="1"/>
    <col min="16144" max="16384" width="9.140625" style="119"/>
  </cols>
  <sheetData>
    <row r="1" spans="1:15" s="39" customFormat="1" ht="15.75" customHeight="1" x14ac:dyDescent="0.25">
      <c r="A1" s="209" t="s">
        <v>21</v>
      </c>
      <c r="B1" s="209"/>
      <c r="C1" s="209"/>
      <c r="D1" s="209"/>
      <c r="F1" s="40"/>
    </row>
    <row r="2" spans="1:15" s="39" customFormat="1" ht="15.75" x14ac:dyDescent="0.25">
      <c r="A2" s="215"/>
      <c r="B2" s="215"/>
      <c r="C2" s="215"/>
      <c r="D2" s="215"/>
      <c r="E2" s="41">
        <f>[5]прайс_УПГ_2010!$H$12</f>
        <v>1.4600000000000364</v>
      </c>
      <c r="F2" s="42"/>
      <c r="G2" s="43"/>
      <c r="H2" s="43"/>
      <c r="I2" s="43"/>
      <c r="J2" s="43"/>
      <c r="K2" s="43"/>
      <c r="L2" s="43"/>
      <c r="M2" s="43"/>
      <c r="N2" s="43"/>
      <c r="O2" s="43"/>
    </row>
    <row r="3" spans="1:15" s="39" customFormat="1" ht="27.75" customHeight="1" x14ac:dyDescent="0.25">
      <c r="A3" s="43"/>
      <c r="B3" s="43"/>
      <c r="C3" s="43"/>
      <c r="D3" s="44" t="s">
        <v>22</v>
      </c>
      <c r="E3" s="43"/>
      <c r="F3" s="43"/>
      <c r="G3" s="43"/>
      <c r="H3" s="43"/>
      <c r="I3" s="43" t="s">
        <v>23</v>
      </c>
      <c r="J3" s="43"/>
      <c r="K3" s="43"/>
      <c r="L3" s="43"/>
      <c r="M3" s="43"/>
      <c r="N3" s="43"/>
      <c r="O3" s="43"/>
    </row>
    <row r="4" spans="1:15" s="39" customFormat="1" ht="12" customHeight="1" x14ac:dyDescent="0.25">
      <c r="A4" s="45"/>
      <c r="B4" s="45"/>
      <c r="C4" s="45"/>
      <c r="D4" s="45"/>
      <c r="L4" s="39">
        <v>2019</v>
      </c>
    </row>
    <row r="5" spans="1:15" s="46" customFormat="1" ht="15.75" customHeight="1" x14ac:dyDescent="0.25">
      <c r="A5" s="213" t="s">
        <v>0</v>
      </c>
      <c r="B5" s="214" t="s">
        <v>24</v>
      </c>
      <c r="C5" s="214" t="s">
        <v>25</v>
      </c>
      <c r="D5" s="214" t="s">
        <v>26</v>
      </c>
      <c r="I5" s="46" t="s">
        <v>26</v>
      </c>
      <c r="J5" s="46" t="s">
        <v>27</v>
      </c>
      <c r="L5" s="46" t="s">
        <v>26</v>
      </c>
    </row>
    <row r="6" spans="1:15" s="46" customFormat="1" ht="15.75" x14ac:dyDescent="0.25">
      <c r="A6" s="213"/>
      <c r="B6" s="214"/>
      <c r="C6" s="214"/>
      <c r="D6" s="214"/>
      <c r="F6" s="47"/>
    </row>
    <row r="7" spans="1:15" s="52" customFormat="1" ht="15.75" x14ac:dyDescent="0.25">
      <c r="A7" s="48" t="s">
        <v>28</v>
      </c>
      <c r="B7" s="49" t="s">
        <v>29</v>
      </c>
      <c r="C7" s="50" t="s">
        <v>6</v>
      </c>
      <c r="D7" s="51">
        <f>D8+D11+D14+D17</f>
        <v>0</v>
      </c>
      <c r="I7" s="52">
        <v>19.950000000000003</v>
      </c>
      <c r="J7" s="52" t="s">
        <v>26</v>
      </c>
      <c r="L7" s="52">
        <v>23.74</v>
      </c>
    </row>
    <row r="8" spans="1:15" s="57" customFormat="1" ht="15.75" x14ac:dyDescent="0.25">
      <c r="A8" s="53" t="s">
        <v>30</v>
      </c>
      <c r="B8" s="54" t="s">
        <v>31</v>
      </c>
      <c r="C8" s="55" t="s">
        <v>32</v>
      </c>
      <c r="D8" s="56"/>
      <c r="E8" s="46"/>
      <c r="I8" s="57">
        <v>16.670000000000002</v>
      </c>
      <c r="L8" s="57">
        <v>20.72</v>
      </c>
    </row>
    <row r="9" spans="1:15" s="62" customFormat="1" ht="15.75" x14ac:dyDescent="0.25">
      <c r="A9" s="58"/>
      <c r="B9" s="59" t="s">
        <v>33</v>
      </c>
      <c r="C9" s="60" t="s">
        <v>34</v>
      </c>
      <c r="D9" s="61"/>
      <c r="F9" s="63"/>
      <c r="I9" s="62">
        <v>0.67</v>
      </c>
      <c r="J9" s="62">
        <v>20.060000000000002</v>
      </c>
      <c r="L9" s="62">
        <v>0.67</v>
      </c>
    </row>
    <row r="10" spans="1:15" s="62" customFormat="1" ht="15.75" x14ac:dyDescent="0.25">
      <c r="A10" s="58"/>
      <c r="B10" s="59" t="s">
        <v>35</v>
      </c>
      <c r="C10" s="64" t="s">
        <v>32</v>
      </c>
      <c r="D10" s="65"/>
      <c r="F10" s="63"/>
      <c r="I10" s="62">
        <v>24.880412480000004</v>
      </c>
      <c r="J10" s="62">
        <v>16.78</v>
      </c>
      <c r="L10" s="62">
        <v>30.93</v>
      </c>
    </row>
    <row r="11" spans="1:15" s="57" customFormat="1" ht="15.75" x14ac:dyDescent="0.25">
      <c r="A11" s="53" t="s">
        <v>36</v>
      </c>
      <c r="B11" s="54" t="s">
        <v>37</v>
      </c>
      <c r="C11" s="55" t="s">
        <v>32</v>
      </c>
      <c r="D11" s="56"/>
      <c r="E11" s="46"/>
      <c r="F11" s="47"/>
      <c r="I11" s="57">
        <v>1.27</v>
      </c>
      <c r="J11" s="57">
        <v>0.67460004672896556</v>
      </c>
      <c r="L11" s="57">
        <v>2.12</v>
      </c>
    </row>
    <row r="12" spans="1:15" s="62" customFormat="1" x14ac:dyDescent="0.2">
      <c r="A12" s="58"/>
      <c r="B12" s="59" t="s">
        <v>33</v>
      </c>
      <c r="C12" s="60" t="s">
        <v>38</v>
      </c>
      <c r="D12" s="66"/>
      <c r="I12" s="62">
        <v>2E-3</v>
      </c>
      <c r="J12" s="62">
        <v>24.880412480000004</v>
      </c>
      <c r="L12" s="62">
        <v>2E-3</v>
      </c>
    </row>
    <row r="13" spans="1:15" s="62" customFormat="1" x14ac:dyDescent="0.2">
      <c r="A13" s="58"/>
      <c r="B13" s="59" t="s">
        <v>35</v>
      </c>
      <c r="C13" s="64" t="s">
        <v>32</v>
      </c>
      <c r="D13" s="67"/>
      <c r="I13" s="62">
        <v>633.01177632000008</v>
      </c>
      <c r="J13" s="62">
        <v>1.27</v>
      </c>
      <c r="L13" s="62">
        <v>1059.32</v>
      </c>
    </row>
    <row r="14" spans="1:15" s="57" customFormat="1" ht="15" customHeight="1" x14ac:dyDescent="0.25">
      <c r="A14" s="53" t="s">
        <v>39</v>
      </c>
      <c r="B14" s="68" t="s">
        <v>40</v>
      </c>
      <c r="C14" s="55" t="s">
        <v>32</v>
      </c>
      <c r="D14" s="56"/>
      <c r="E14" s="46"/>
      <c r="I14" s="57">
        <v>2.0099999999999998</v>
      </c>
      <c r="J14" s="57">
        <v>2E-3</v>
      </c>
      <c r="L14" s="57">
        <v>0.9</v>
      </c>
    </row>
    <row r="15" spans="1:15" s="62" customFormat="1" x14ac:dyDescent="0.2">
      <c r="A15" s="58"/>
      <c r="B15" s="59" t="s">
        <v>33</v>
      </c>
      <c r="C15" s="64" t="s">
        <v>34</v>
      </c>
      <c r="D15" s="69"/>
      <c r="I15" s="62">
        <v>2E-3</v>
      </c>
      <c r="J15" s="62">
        <v>633.01177632000008</v>
      </c>
      <c r="L15" s="62">
        <v>2E-3</v>
      </c>
    </row>
    <row r="16" spans="1:15" s="62" customFormat="1" x14ac:dyDescent="0.2">
      <c r="A16" s="58"/>
      <c r="B16" s="59" t="s">
        <v>35</v>
      </c>
      <c r="C16" s="64" t="s">
        <v>32</v>
      </c>
      <c r="D16" s="65"/>
      <c r="I16" s="62">
        <v>1003.2480304000002</v>
      </c>
      <c r="J16" s="62">
        <v>2.0099999999999998</v>
      </c>
      <c r="L16" s="62">
        <v>449.81</v>
      </c>
    </row>
    <row r="17" spans="1:12" s="62" customFormat="1" ht="15.75" hidden="1" x14ac:dyDescent="0.25">
      <c r="A17" s="53"/>
      <c r="B17" s="54"/>
      <c r="C17" s="55"/>
      <c r="D17" s="56"/>
      <c r="J17" s="62">
        <v>2E-3</v>
      </c>
    </row>
    <row r="18" spans="1:12" s="62" customFormat="1" hidden="1" x14ac:dyDescent="0.2">
      <c r="A18" s="58"/>
      <c r="B18" s="59"/>
      <c r="C18" s="64"/>
      <c r="D18" s="64"/>
      <c r="J18" s="62">
        <v>1003.2480304000002</v>
      </c>
    </row>
    <row r="19" spans="1:12" s="62" customFormat="1" hidden="1" x14ac:dyDescent="0.2">
      <c r="A19" s="58"/>
      <c r="B19" s="59"/>
      <c r="C19" s="64"/>
      <c r="D19" s="64"/>
    </row>
    <row r="20" spans="1:12" s="62" customFormat="1" ht="15.75" hidden="1" x14ac:dyDescent="0.25">
      <c r="A20" s="53" t="s">
        <v>41</v>
      </c>
      <c r="B20" s="68"/>
      <c r="C20" s="55" t="s">
        <v>32</v>
      </c>
      <c r="D20" s="56"/>
    </row>
    <row r="21" spans="1:12" s="62" customFormat="1" hidden="1" x14ac:dyDescent="0.2">
      <c r="A21" s="58"/>
      <c r="B21" s="59" t="s">
        <v>33</v>
      </c>
      <c r="C21" s="64" t="s">
        <v>34</v>
      </c>
      <c r="D21" s="64">
        <v>0.47</v>
      </c>
      <c r="I21" s="62">
        <v>0.47</v>
      </c>
      <c r="L21" s="62">
        <v>0.47</v>
      </c>
    </row>
    <row r="22" spans="1:12" s="62" customFormat="1" ht="19.5" hidden="1" customHeight="1" x14ac:dyDescent="0.2">
      <c r="A22" s="58"/>
      <c r="B22" s="59" t="s">
        <v>35</v>
      </c>
      <c r="C22" s="64" t="s">
        <v>32</v>
      </c>
      <c r="D22" s="64">
        <f>[6]материалы!$E$112</f>
        <v>0</v>
      </c>
      <c r="I22" s="62">
        <v>0</v>
      </c>
      <c r="L22" s="62">
        <v>0</v>
      </c>
    </row>
    <row r="23" spans="1:12" s="62" customFormat="1" ht="15.75" hidden="1" x14ac:dyDescent="0.25">
      <c r="A23" s="53" t="s">
        <v>42</v>
      </c>
      <c r="B23" s="68"/>
      <c r="C23" s="55" t="s">
        <v>32</v>
      </c>
      <c r="D23" s="56"/>
      <c r="J23" s="62">
        <v>0.47</v>
      </c>
    </row>
    <row r="24" spans="1:12" s="62" customFormat="1" hidden="1" x14ac:dyDescent="0.2">
      <c r="A24" s="58"/>
      <c r="B24" s="59" t="s">
        <v>33</v>
      </c>
      <c r="C24" s="64" t="s">
        <v>43</v>
      </c>
      <c r="D24" s="64">
        <v>0.96</v>
      </c>
      <c r="I24" s="62">
        <v>0.96</v>
      </c>
      <c r="J24" s="62">
        <v>0</v>
      </c>
      <c r="L24" s="62">
        <v>0.96</v>
      </c>
    </row>
    <row r="25" spans="1:12" s="62" customFormat="1" hidden="1" x14ac:dyDescent="0.2">
      <c r="A25" s="58"/>
      <c r="B25" s="59" t="s">
        <v>35</v>
      </c>
      <c r="C25" s="64" t="s">
        <v>32</v>
      </c>
      <c r="D25" s="64">
        <f>[6]материалы!$E$117</f>
        <v>1000</v>
      </c>
      <c r="I25" s="62">
        <v>1000</v>
      </c>
      <c r="J25" s="62">
        <v>960</v>
      </c>
      <c r="L25" s="62">
        <v>1000</v>
      </c>
    </row>
    <row r="26" spans="1:12" s="62" customFormat="1" ht="15.75" hidden="1" x14ac:dyDescent="0.25">
      <c r="A26" s="53" t="s">
        <v>44</v>
      </c>
      <c r="B26" s="54"/>
      <c r="C26" s="55" t="s">
        <v>32</v>
      </c>
      <c r="D26" s="56">
        <f>ROUND(D27*D28,2)</f>
        <v>0</v>
      </c>
      <c r="I26" s="62">
        <v>0</v>
      </c>
      <c r="J26" s="62">
        <v>0.96</v>
      </c>
      <c r="L26" s="62">
        <v>0</v>
      </c>
    </row>
    <row r="27" spans="1:12" s="62" customFormat="1" hidden="1" x14ac:dyDescent="0.2">
      <c r="A27" s="58"/>
      <c r="B27" s="59" t="s">
        <v>33</v>
      </c>
      <c r="C27" s="64"/>
      <c r="D27" s="64"/>
      <c r="J27" s="62">
        <v>1000</v>
      </c>
    </row>
    <row r="28" spans="1:12" s="62" customFormat="1" hidden="1" x14ac:dyDescent="0.2">
      <c r="A28" s="58"/>
      <c r="B28" s="59" t="s">
        <v>35</v>
      </c>
      <c r="C28" s="64" t="s">
        <v>32</v>
      </c>
      <c r="D28" s="64"/>
      <c r="J28" s="62">
        <v>0</v>
      </c>
    </row>
    <row r="29" spans="1:12" s="62" customFormat="1" ht="15.75" hidden="1" x14ac:dyDescent="0.25">
      <c r="A29" s="53" t="s">
        <v>45</v>
      </c>
      <c r="B29" s="68"/>
      <c r="C29" s="55" t="s">
        <v>32</v>
      </c>
      <c r="D29" s="56">
        <f>ROUND(D30*D31,2)</f>
        <v>0</v>
      </c>
      <c r="I29" s="62">
        <v>0</v>
      </c>
      <c r="L29" s="62">
        <v>0</v>
      </c>
    </row>
    <row r="30" spans="1:12" s="62" customFormat="1" hidden="1" x14ac:dyDescent="0.2">
      <c r="A30" s="58"/>
      <c r="B30" s="59" t="s">
        <v>33</v>
      </c>
      <c r="C30" s="64"/>
      <c r="D30" s="64"/>
    </row>
    <row r="31" spans="1:12" s="62" customFormat="1" hidden="1" x14ac:dyDescent="0.2">
      <c r="A31" s="58"/>
      <c r="B31" s="59" t="s">
        <v>35</v>
      </c>
      <c r="C31" s="64" t="s">
        <v>32</v>
      </c>
      <c r="D31" s="64"/>
      <c r="J31" s="62">
        <v>0</v>
      </c>
    </row>
    <row r="32" spans="1:12" s="62" customFormat="1" ht="15.75" hidden="1" x14ac:dyDescent="0.25">
      <c r="A32" s="53" t="s">
        <v>46</v>
      </c>
      <c r="B32" s="68"/>
      <c r="C32" s="55" t="s">
        <v>32</v>
      </c>
      <c r="D32" s="56">
        <f>ROUND(D33*D34,2)</f>
        <v>0</v>
      </c>
      <c r="I32" s="62">
        <v>0</v>
      </c>
      <c r="L32" s="62">
        <v>0</v>
      </c>
    </row>
    <row r="33" spans="1:12" s="62" customFormat="1" hidden="1" x14ac:dyDescent="0.2">
      <c r="A33" s="58"/>
      <c r="B33" s="59" t="s">
        <v>33</v>
      </c>
      <c r="C33" s="60"/>
      <c r="D33" s="64"/>
    </row>
    <row r="34" spans="1:12" s="62" customFormat="1" hidden="1" x14ac:dyDescent="0.2">
      <c r="A34" s="58"/>
      <c r="B34" s="59" t="s">
        <v>35</v>
      </c>
      <c r="C34" s="64" t="s">
        <v>32</v>
      </c>
      <c r="D34" s="64"/>
      <c r="J34" s="62">
        <v>0</v>
      </c>
    </row>
    <row r="35" spans="1:12" s="62" customFormat="1" ht="15.75" hidden="1" x14ac:dyDescent="0.25">
      <c r="A35" s="53" t="s">
        <v>47</v>
      </c>
      <c r="B35" s="68"/>
      <c r="C35" s="55" t="s">
        <v>32</v>
      </c>
      <c r="D35" s="56">
        <f>ROUND(D36*D37,2)</f>
        <v>0</v>
      </c>
      <c r="I35" s="62">
        <v>0</v>
      </c>
      <c r="L35" s="62">
        <v>0</v>
      </c>
    </row>
    <row r="36" spans="1:12" s="62" customFormat="1" hidden="1" x14ac:dyDescent="0.2">
      <c r="A36" s="58"/>
      <c r="B36" s="59" t="s">
        <v>33</v>
      </c>
      <c r="C36" s="60"/>
      <c r="D36" s="64"/>
    </row>
    <row r="37" spans="1:12" s="62" customFormat="1" hidden="1" x14ac:dyDescent="0.2">
      <c r="A37" s="58"/>
      <c r="B37" s="59" t="s">
        <v>35</v>
      </c>
      <c r="C37" s="64" t="s">
        <v>32</v>
      </c>
      <c r="D37" s="64"/>
      <c r="J37" s="62">
        <v>0</v>
      </c>
    </row>
    <row r="38" spans="1:12" s="62" customFormat="1" ht="15.75" hidden="1" outlineLevel="1" x14ac:dyDescent="0.25">
      <c r="A38" s="53" t="s">
        <v>48</v>
      </c>
      <c r="B38" s="54"/>
      <c r="C38" s="55" t="s">
        <v>32</v>
      </c>
      <c r="D38" s="56">
        <f>ROUND(D39*D40,2)</f>
        <v>0</v>
      </c>
      <c r="I38" s="62">
        <v>0</v>
      </c>
      <c r="L38" s="62">
        <v>0</v>
      </c>
    </row>
    <row r="39" spans="1:12" s="62" customFormat="1" hidden="1" outlineLevel="1" x14ac:dyDescent="0.2">
      <c r="A39" s="58"/>
      <c r="B39" s="59" t="s">
        <v>33</v>
      </c>
      <c r="C39" s="60"/>
      <c r="D39" s="64"/>
    </row>
    <row r="40" spans="1:12" s="62" customFormat="1" hidden="1" outlineLevel="1" x14ac:dyDescent="0.2">
      <c r="A40" s="58"/>
      <c r="B40" s="59" t="s">
        <v>35</v>
      </c>
      <c r="C40" s="64" t="s">
        <v>32</v>
      </c>
      <c r="D40" s="64"/>
      <c r="J40" s="62">
        <v>0</v>
      </c>
    </row>
    <row r="41" spans="1:12" s="62" customFormat="1" ht="15.75" hidden="1" outlineLevel="1" x14ac:dyDescent="0.25">
      <c r="A41" s="53" t="s">
        <v>49</v>
      </c>
      <c r="B41" s="54"/>
      <c r="C41" s="55" t="s">
        <v>32</v>
      </c>
      <c r="D41" s="56">
        <f>ROUND(D42*D43,2)</f>
        <v>0</v>
      </c>
      <c r="I41" s="62">
        <v>0</v>
      </c>
      <c r="L41" s="62">
        <v>0</v>
      </c>
    </row>
    <row r="42" spans="1:12" s="62" customFormat="1" hidden="1" outlineLevel="1" x14ac:dyDescent="0.2">
      <c r="A42" s="58"/>
      <c r="B42" s="59" t="s">
        <v>33</v>
      </c>
      <c r="C42" s="60"/>
      <c r="D42" s="64"/>
    </row>
    <row r="43" spans="1:12" s="62" customFormat="1" hidden="1" outlineLevel="1" x14ac:dyDescent="0.2">
      <c r="A43" s="58"/>
      <c r="B43" s="59" t="s">
        <v>35</v>
      </c>
      <c r="C43" s="64" t="s">
        <v>32</v>
      </c>
      <c r="D43" s="64"/>
      <c r="J43" s="62">
        <v>0</v>
      </c>
    </row>
    <row r="44" spans="1:12" s="62" customFormat="1" ht="15.75" hidden="1" outlineLevel="1" x14ac:dyDescent="0.25">
      <c r="A44" s="53" t="s">
        <v>50</v>
      </c>
      <c r="B44" s="54"/>
      <c r="C44" s="55" t="s">
        <v>32</v>
      </c>
      <c r="D44" s="56">
        <f>ROUND(D45*D46,2)</f>
        <v>0</v>
      </c>
      <c r="I44" s="62">
        <v>0</v>
      </c>
      <c r="L44" s="62">
        <v>0</v>
      </c>
    </row>
    <row r="45" spans="1:12" s="62" customFormat="1" hidden="1" outlineLevel="1" x14ac:dyDescent="0.2">
      <c r="A45" s="58"/>
      <c r="B45" s="59" t="s">
        <v>33</v>
      </c>
      <c r="C45" s="64"/>
      <c r="D45" s="64"/>
    </row>
    <row r="46" spans="1:12" s="62" customFormat="1" hidden="1" outlineLevel="1" x14ac:dyDescent="0.2">
      <c r="A46" s="58"/>
      <c r="B46" s="59" t="s">
        <v>35</v>
      </c>
      <c r="C46" s="64" t="s">
        <v>32</v>
      </c>
      <c r="D46" s="64"/>
      <c r="J46" s="62">
        <v>0</v>
      </c>
    </row>
    <row r="47" spans="1:12" s="62" customFormat="1" ht="15.75" hidden="1" outlineLevel="1" x14ac:dyDescent="0.25">
      <c r="A47" s="53" t="s">
        <v>51</v>
      </c>
      <c r="B47" s="54"/>
      <c r="C47" s="55" t="s">
        <v>32</v>
      </c>
      <c r="D47" s="56">
        <f>ROUND(D48*D49,2)</f>
        <v>0</v>
      </c>
      <c r="I47" s="62">
        <v>0</v>
      </c>
      <c r="L47" s="62">
        <v>0</v>
      </c>
    </row>
    <row r="48" spans="1:12" s="62" customFormat="1" hidden="1" outlineLevel="1" x14ac:dyDescent="0.2">
      <c r="A48" s="58"/>
      <c r="B48" s="59" t="s">
        <v>33</v>
      </c>
      <c r="C48" s="64"/>
      <c r="D48" s="64"/>
    </row>
    <row r="49" spans="1:12" s="62" customFormat="1" hidden="1" outlineLevel="1" x14ac:dyDescent="0.2">
      <c r="A49" s="58"/>
      <c r="B49" s="59" t="s">
        <v>35</v>
      </c>
      <c r="C49" s="64" t="s">
        <v>32</v>
      </c>
      <c r="D49" s="64"/>
      <c r="J49" s="62">
        <v>0</v>
      </c>
    </row>
    <row r="50" spans="1:12" s="62" customFormat="1" ht="15.75" hidden="1" outlineLevel="1" x14ac:dyDescent="0.25">
      <c r="A50" s="53" t="s">
        <v>52</v>
      </c>
      <c r="B50" s="68"/>
      <c r="C50" s="55" t="s">
        <v>32</v>
      </c>
      <c r="D50" s="56">
        <f>ROUND(D51*D52,2)</f>
        <v>0</v>
      </c>
      <c r="I50" s="62">
        <v>0</v>
      </c>
      <c r="L50" s="62">
        <v>0</v>
      </c>
    </row>
    <row r="51" spans="1:12" s="62" customFormat="1" hidden="1" outlineLevel="1" x14ac:dyDescent="0.2">
      <c r="A51" s="58"/>
      <c r="B51" s="59" t="s">
        <v>33</v>
      </c>
      <c r="C51" s="64"/>
      <c r="D51" s="64"/>
    </row>
    <row r="52" spans="1:12" s="62" customFormat="1" hidden="1" outlineLevel="1" x14ac:dyDescent="0.2">
      <c r="A52" s="58"/>
      <c r="B52" s="59" t="s">
        <v>35</v>
      </c>
      <c r="C52" s="64" t="s">
        <v>32</v>
      </c>
      <c r="D52" s="64"/>
      <c r="J52" s="62">
        <v>0</v>
      </c>
    </row>
    <row r="53" spans="1:12" s="62" customFormat="1" ht="15.75" hidden="1" outlineLevel="1" x14ac:dyDescent="0.25">
      <c r="A53" s="53" t="s">
        <v>53</v>
      </c>
      <c r="B53" s="54"/>
      <c r="C53" s="55" t="s">
        <v>32</v>
      </c>
      <c r="D53" s="56">
        <f>ROUND(D54*D55,2)</f>
        <v>0</v>
      </c>
      <c r="I53" s="62">
        <v>0</v>
      </c>
      <c r="L53" s="62">
        <v>0</v>
      </c>
    </row>
    <row r="54" spans="1:12" s="62" customFormat="1" hidden="1" outlineLevel="1" x14ac:dyDescent="0.2">
      <c r="A54" s="58"/>
      <c r="B54" s="59" t="s">
        <v>33</v>
      </c>
      <c r="C54" s="64"/>
      <c r="D54" s="64"/>
    </row>
    <row r="55" spans="1:12" s="62" customFormat="1" hidden="1" outlineLevel="1" x14ac:dyDescent="0.2">
      <c r="A55" s="58"/>
      <c r="B55" s="59" t="s">
        <v>35</v>
      </c>
      <c r="C55" s="64" t="s">
        <v>32</v>
      </c>
      <c r="D55" s="64"/>
      <c r="J55" s="62">
        <v>0</v>
      </c>
    </row>
    <row r="56" spans="1:12" s="62" customFormat="1" ht="15.75" hidden="1" outlineLevel="1" x14ac:dyDescent="0.25">
      <c r="A56" s="53" t="s">
        <v>54</v>
      </c>
      <c r="B56" s="54"/>
      <c r="C56" s="55" t="s">
        <v>32</v>
      </c>
      <c r="D56" s="56">
        <f>ROUND(D57*D58,2)</f>
        <v>0</v>
      </c>
      <c r="I56" s="62">
        <v>0</v>
      </c>
      <c r="L56" s="62">
        <v>0</v>
      </c>
    </row>
    <row r="57" spans="1:12" s="62" customFormat="1" hidden="1" outlineLevel="1" x14ac:dyDescent="0.2">
      <c r="A57" s="58"/>
      <c r="B57" s="59" t="s">
        <v>33</v>
      </c>
      <c r="C57" s="64"/>
      <c r="D57" s="64"/>
    </row>
    <row r="58" spans="1:12" s="62" customFormat="1" hidden="1" outlineLevel="1" x14ac:dyDescent="0.2">
      <c r="A58" s="58"/>
      <c r="B58" s="59" t="s">
        <v>35</v>
      </c>
      <c r="C58" s="64" t="s">
        <v>32</v>
      </c>
      <c r="D58" s="64"/>
      <c r="J58" s="62">
        <v>0</v>
      </c>
    </row>
    <row r="59" spans="1:12" s="62" customFormat="1" ht="15.75" hidden="1" outlineLevel="1" x14ac:dyDescent="0.25">
      <c r="A59" s="53" t="s">
        <v>55</v>
      </c>
      <c r="B59" s="54"/>
      <c r="C59" s="55" t="s">
        <v>32</v>
      </c>
      <c r="D59" s="56">
        <f>ROUND(D60*D61,2)</f>
        <v>0</v>
      </c>
      <c r="I59" s="62">
        <v>0</v>
      </c>
      <c r="L59" s="62">
        <v>0</v>
      </c>
    </row>
    <row r="60" spans="1:12" s="62" customFormat="1" hidden="1" outlineLevel="1" x14ac:dyDescent="0.2">
      <c r="A60" s="58"/>
      <c r="B60" s="59" t="s">
        <v>33</v>
      </c>
      <c r="C60" s="64"/>
      <c r="D60" s="64"/>
    </row>
    <row r="61" spans="1:12" s="62" customFormat="1" hidden="1" outlineLevel="1" x14ac:dyDescent="0.2">
      <c r="A61" s="58"/>
      <c r="B61" s="59" t="s">
        <v>35</v>
      </c>
      <c r="C61" s="64" t="s">
        <v>32</v>
      </c>
      <c r="D61" s="64"/>
      <c r="J61" s="62">
        <v>0</v>
      </c>
    </row>
    <row r="62" spans="1:12" s="62" customFormat="1" ht="15.75" hidden="1" outlineLevel="1" x14ac:dyDescent="0.25">
      <c r="A62" s="53" t="s">
        <v>56</v>
      </c>
      <c r="B62" s="54"/>
      <c r="C62" s="55" t="s">
        <v>32</v>
      </c>
      <c r="D62" s="56">
        <f>ROUND(D63*D64,2)</f>
        <v>0</v>
      </c>
      <c r="I62" s="62">
        <v>0</v>
      </c>
      <c r="L62" s="62">
        <v>0</v>
      </c>
    </row>
    <row r="63" spans="1:12" s="62" customFormat="1" hidden="1" outlineLevel="1" x14ac:dyDescent="0.2">
      <c r="A63" s="58"/>
      <c r="B63" s="59" t="s">
        <v>33</v>
      </c>
      <c r="C63" s="64"/>
      <c r="D63" s="64"/>
    </row>
    <row r="64" spans="1:12" s="62" customFormat="1" hidden="1" outlineLevel="1" x14ac:dyDescent="0.2">
      <c r="A64" s="58"/>
      <c r="B64" s="59" t="s">
        <v>35</v>
      </c>
      <c r="C64" s="64" t="s">
        <v>32</v>
      </c>
      <c r="D64" s="64"/>
      <c r="J64" s="62">
        <v>0</v>
      </c>
    </row>
    <row r="65" spans="1:12" s="62" customFormat="1" ht="15.75" hidden="1" outlineLevel="1" x14ac:dyDescent="0.25">
      <c r="A65" s="53" t="s">
        <v>57</v>
      </c>
      <c r="B65" s="54"/>
      <c r="C65" s="55" t="s">
        <v>32</v>
      </c>
      <c r="D65" s="56">
        <f>ROUND(D66*D67,2)</f>
        <v>0</v>
      </c>
      <c r="I65" s="62">
        <v>0</v>
      </c>
      <c r="L65" s="62">
        <v>0</v>
      </c>
    </row>
    <row r="66" spans="1:12" s="62" customFormat="1" hidden="1" outlineLevel="1" x14ac:dyDescent="0.2">
      <c r="A66" s="58"/>
      <c r="B66" s="59" t="s">
        <v>33</v>
      </c>
      <c r="C66" s="64"/>
      <c r="D66" s="64"/>
    </row>
    <row r="67" spans="1:12" s="62" customFormat="1" hidden="1" outlineLevel="1" x14ac:dyDescent="0.2">
      <c r="A67" s="58"/>
      <c r="B67" s="59" t="s">
        <v>35</v>
      </c>
      <c r="C67" s="64" t="s">
        <v>32</v>
      </c>
      <c r="D67" s="64"/>
      <c r="J67" s="62">
        <v>0</v>
      </c>
    </row>
    <row r="68" spans="1:12" s="62" customFormat="1" ht="15.75" hidden="1" outlineLevel="1" x14ac:dyDescent="0.25">
      <c r="A68" s="53" t="s">
        <v>58</v>
      </c>
      <c r="B68" s="68"/>
      <c r="C68" s="55" t="s">
        <v>32</v>
      </c>
      <c r="D68" s="56">
        <f>ROUND(D69*D70,2)</f>
        <v>0</v>
      </c>
      <c r="I68" s="62">
        <v>0</v>
      </c>
      <c r="L68" s="62">
        <v>0</v>
      </c>
    </row>
    <row r="69" spans="1:12" s="62" customFormat="1" hidden="1" outlineLevel="1" x14ac:dyDescent="0.2">
      <c r="A69" s="58"/>
      <c r="B69" s="59" t="s">
        <v>33</v>
      </c>
      <c r="C69" s="64"/>
      <c r="D69" s="64"/>
    </row>
    <row r="70" spans="1:12" s="62" customFormat="1" hidden="1" outlineLevel="1" x14ac:dyDescent="0.2">
      <c r="A70" s="58"/>
      <c r="B70" s="59" t="s">
        <v>35</v>
      </c>
      <c r="C70" s="64" t="s">
        <v>32</v>
      </c>
      <c r="D70" s="64"/>
      <c r="J70" s="62">
        <v>0</v>
      </c>
    </row>
    <row r="71" spans="1:12" s="62" customFormat="1" ht="15.75" hidden="1" outlineLevel="1" x14ac:dyDescent="0.25">
      <c r="A71" s="53" t="s">
        <v>59</v>
      </c>
      <c r="B71" s="70"/>
      <c r="C71" s="55" t="s">
        <v>32</v>
      </c>
      <c r="D71" s="56">
        <f>ROUND(D72*D73,2)</f>
        <v>0</v>
      </c>
      <c r="I71" s="62">
        <v>0</v>
      </c>
      <c r="L71" s="62">
        <v>0</v>
      </c>
    </row>
    <row r="72" spans="1:12" s="62" customFormat="1" hidden="1" outlineLevel="1" x14ac:dyDescent="0.2">
      <c r="A72" s="58"/>
      <c r="B72" s="59" t="s">
        <v>33</v>
      </c>
      <c r="C72" s="64"/>
      <c r="D72" s="64"/>
    </row>
    <row r="73" spans="1:12" s="62" customFormat="1" hidden="1" outlineLevel="1" x14ac:dyDescent="0.2">
      <c r="A73" s="58"/>
      <c r="B73" s="59" t="s">
        <v>35</v>
      </c>
      <c r="C73" s="64" t="s">
        <v>32</v>
      </c>
      <c r="D73" s="64"/>
      <c r="J73" s="62">
        <v>0</v>
      </c>
    </row>
    <row r="74" spans="1:12" s="62" customFormat="1" ht="15.75" hidden="1" outlineLevel="1" x14ac:dyDescent="0.25">
      <c r="A74" s="53" t="s">
        <v>60</v>
      </c>
      <c r="B74" s="71"/>
      <c r="C74" s="55" t="s">
        <v>32</v>
      </c>
      <c r="D74" s="56">
        <f>ROUND(D75*D76,2)</f>
        <v>0</v>
      </c>
      <c r="I74" s="62">
        <v>0</v>
      </c>
      <c r="L74" s="62">
        <v>0</v>
      </c>
    </row>
    <row r="75" spans="1:12" s="62" customFormat="1" hidden="1" outlineLevel="1" x14ac:dyDescent="0.2">
      <c r="A75" s="58"/>
      <c r="B75" s="59" t="s">
        <v>33</v>
      </c>
      <c r="C75" s="64"/>
      <c r="D75" s="64"/>
    </row>
    <row r="76" spans="1:12" s="62" customFormat="1" hidden="1" outlineLevel="1" x14ac:dyDescent="0.2">
      <c r="A76" s="58"/>
      <c r="B76" s="59" t="s">
        <v>35</v>
      </c>
      <c r="C76" s="64" t="s">
        <v>32</v>
      </c>
      <c r="D76" s="64"/>
      <c r="J76" s="62">
        <v>0</v>
      </c>
    </row>
    <row r="77" spans="1:12" s="62" customFormat="1" ht="15.75" hidden="1" outlineLevel="1" x14ac:dyDescent="0.25">
      <c r="A77" s="53" t="s">
        <v>61</v>
      </c>
      <c r="B77" s="68"/>
      <c r="C77" s="55" t="s">
        <v>32</v>
      </c>
      <c r="D77" s="56">
        <f>ROUND(D78*D79,2)</f>
        <v>0</v>
      </c>
      <c r="I77" s="62">
        <v>0</v>
      </c>
      <c r="L77" s="62">
        <v>0</v>
      </c>
    </row>
    <row r="78" spans="1:12" s="62" customFormat="1" hidden="1" outlineLevel="1" x14ac:dyDescent="0.2">
      <c r="A78" s="58"/>
      <c r="B78" s="59" t="s">
        <v>33</v>
      </c>
      <c r="C78" s="64"/>
      <c r="D78" s="64"/>
    </row>
    <row r="79" spans="1:12" s="62" customFormat="1" hidden="1" outlineLevel="1" x14ac:dyDescent="0.2">
      <c r="A79" s="58"/>
      <c r="B79" s="59" t="s">
        <v>35</v>
      </c>
      <c r="C79" s="64" t="s">
        <v>32</v>
      </c>
      <c r="D79" s="64"/>
      <c r="J79" s="62">
        <v>0</v>
      </c>
    </row>
    <row r="80" spans="1:12" s="62" customFormat="1" ht="15.75" hidden="1" outlineLevel="1" x14ac:dyDescent="0.25">
      <c r="A80" s="53" t="s">
        <v>62</v>
      </c>
      <c r="B80" s="68"/>
      <c r="C80" s="55" t="s">
        <v>32</v>
      </c>
      <c r="D80" s="56">
        <f>ROUND(D81*D82,2)</f>
        <v>0</v>
      </c>
      <c r="I80" s="62">
        <v>0</v>
      </c>
      <c r="L80" s="62">
        <v>0</v>
      </c>
    </row>
    <row r="81" spans="1:12" s="62" customFormat="1" hidden="1" outlineLevel="1" x14ac:dyDescent="0.2">
      <c r="A81" s="58"/>
      <c r="B81" s="59" t="s">
        <v>33</v>
      </c>
      <c r="C81" s="64"/>
      <c r="D81" s="64"/>
    </row>
    <row r="82" spans="1:12" s="62" customFormat="1" hidden="1" outlineLevel="1" x14ac:dyDescent="0.2">
      <c r="A82" s="58"/>
      <c r="B82" s="59" t="s">
        <v>35</v>
      </c>
      <c r="C82" s="64" t="s">
        <v>32</v>
      </c>
      <c r="D82" s="64"/>
      <c r="J82" s="62">
        <v>0</v>
      </c>
    </row>
    <row r="83" spans="1:12" s="62" customFormat="1" ht="15.75" hidden="1" outlineLevel="1" x14ac:dyDescent="0.25">
      <c r="A83" s="53" t="s">
        <v>63</v>
      </c>
      <c r="B83" s="54"/>
      <c r="C83" s="55" t="s">
        <v>32</v>
      </c>
      <c r="D83" s="56">
        <f>ROUND(D84*D85,2)</f>
        <v>0</v>
      </c>
      <c r="I83" s="62">
        <v>0</v>
      </c>
      <c r="L83" s="62">
        <v>0</v>
      </c>
    </row>
    <row r="84" spans="1:12" s="62" customFormat="1" hidden="1" outlineLevel="1" x14ac:dyDescent="0.2">
      <c r="A84" s="58"/>
      <c r="B84" s="59" t="s">
        <v>33</v>
      </c>
      <c r="C84" s="64"/>
      <c r="D84" s="64"/>
    </row>
    <row r="85" spans="1:12" s="62" customFormat="1" hidden="1" outlineLevel="1" x14ac:dyDescent="0.2">
      <c r="A85" s="58"/>
      <c r="B85" s="59" t="s">
        <v>35</v>
      </c>
      <c r="C85" s="64" t="s">
        <v>32</v>
      </c>
      <c r="D85" s="64"/>
      <c r="J85" s="62">
        <v>0</v>
      </c>
    </row>
    <row r="86" spans="1:12" s="62" customFormat="1" ht="15.75" hidden="1" outlineLevel="1" x14ac:dyDescent="0.25">
      <c r="A86" s="53" t="s">
        <v>64</v>
      </c>
      <c r="B86" s="68"/>
      <c r="C86" s="55" t="s">
        <v>32</v>
      </c>
      <c r="D86" s="56">
        <f>ROUND(D87*D88,2)</f>
        <v>0</v>
      </c>
      <c r="I86" s="62">
        <v>0</v>
      </c>
      <c r="L86" s="62">
        <v>0</v>
      </c>
    </row>
    <row r="87" spans="1:12" s="62" customFormat="1" hidden="1" outlineLevel="1" x14ac:dyDescent="0.2">
      <c r="A87" s="58"/>
      <c r="B87" s="59" t="s">
        <v>33</v>
      </c>
      <c r="C87" s="64"/>
      <c r="D87" s="64"/>
    </row>
    <row r="88" spans="1:12" s="62" customFormat="1" hidden="1" outlineLevel="1" x14ac:dyDescent="0.2">
      <c r="A88" s="58"/>
      <c r="B88" s="59" t="s">
        <v>35</v>
      </c>
      <c r="C88" s="64" t="s">
        <v>32</v>
      </c>
      <c r="D88" s="64"/>
      <c r="J88" s="62">
        <v>0</v>
      </c>
    </row>
    <row r="89" spans="1:12" s="62" customFormat="1" ht="15.75" hidden="1" outlineLevel="1" x14ac:dyDescent="0.25">
      <c r="A89" s="53" t="s">
        <v>65</v>
      </c>
      <c r="B89" s="68"/>
      <c r="C89" s="55" t="s">
        <v>32</v>
      </c>
      <c r="D89" s="56">
        <f>ROUND(D90*D91,2)</f>
        <v>0</v>
      </c>
      <c r="I89" s="62">
        <v>0</v>
      </c>
      <c r="L89" s="62">
        <v>0</v>
      </c>
    </row>
    <row r="90" spans="1:12" s="62" customFormat="1" hidden="1" outlineLevel="1" x14ac:dyDescent="0.2">
      <c r="A90" s="58"/>
      <c r="B90" s="59" t="s">
        <v>33</v>
      </c>
      <c r="C90" s="64"/>
      <c r="D90" s="64"/>
    </row>
    <row r="91" spans="1:12" s="62" customFormat="1" hidden="1" outlineLevel="1" x14ac:dyDescent="0.2">
      <c r="A91" s="58"/>
      <c r="B91" s="59" t="s">
        <v>35</v>
      </c>
      <c r="C91" s="64" t="s">
        <v>32</v>
      </c>
      <c r="D91" s="64"/>
      <c r="J91" s="62">
        <v>0</v>
      </c>
    </row>
    <row r="92" spans="1:12" s="62" customFormat="1" ht="15.75" hidden="1" outlineLevel="1" x14ac:dyDescent="0.25">
      <c r="A92" s="53" t="s">
        <v>66</v>
      </c>
      <c r="B92" s="54"/>
      <c r="C92" s="55" t="s">
        <v>32</v>
      </c>
      <c r="D92" s="56">
        <f>ROUND(D93*D94,2)</f>
        <v>0</v>
      </c>
      <c r="I92" s="62">
        <v>0</v>
      </c>
      <c r="L92" s="62">
        <v>0</v>
      </c>
    </row>
    <row r="93" spans="1:12" s="62" customFormat="1" hidden="1" outlineLevel="1" x14ac:dyDescent="0.2">
      <c r="A93" s="58"/>
      <c r="B93" s="59" t="s">
        <v>33</v>
      </c>
      <c r="C93" s="64"/>
      <c r="D93" s="64"/>
    </row>
    <row r="94" spans="1:12" s="62" customFormat="1" hidden="1" outlineLevel="1" x14ac:dyDescent="0.2">
      <c r="A94" s="58"/>
      <c r="B94" s="59" t="s">
        <v>35</v>
      </c>
      <c r="C94" s="64" t="s">
        <v>32</v>
      </c>
      <c r="D94" s="64"/>
      <c r="J94" s="62">
        <v>0</v>
      </c>
    </row>
    <row r="95" spans="1:12" s="62" customFormat="1" ht="15.75" hidden="1" outlineLevel="1" x14ac:dyDescent="0.25">
      <c r="A95" s="53" t="s">
        <v>67</v>
      </c>
      <c r="B95" s="54"/>
      <c r="C95" s="55" t="s">
        <v>32</v>
      </c>
      <c r="D95" s="56">
        <f>ROUND(D96*D97,2)</f>
        <v>0</v>
      </c>
      <c r="I95" s="62">
        <v>0</v>
      </c>
      <c r="L95" s="62">
        <v>0</v>
      </c>
    </row>
    <row r="96" spans="1:12" s="62" customFormat="1" hidden="1" outlineLevel="1" x14ac:dyDescent="0.2">
      <c r="A96" s="58"/>
      <c r="B96" s="59" t="s">
        <v>33</v>
      </c>
      <c r="C96" s="64"/>
      <c r="D96" s="64"/>
    </row>
    <row r="97" spans="1:12" s="62" customFormat="1" hidden="1" outlineLevel="1" x14ac:dyDescent="0.2">
      <c r="A97" s="58"/>
      <c r="B97" s="59" t="s">
        <v>35</v>
      </c>
      <c r="C97" s="64" t="s">
        <v>32</v>
      </c>
      <c r="D97" s="64"/>
      <c r="J97" s="62">
        <v>0</v>
      </c>
    </row>
    <row r="98" spans="1:12" s="62" customFormat="1" ht="15.75" hidden="1" outlineLevel="1" x14ac:dyDescent="0.25">
      <c r="A98" s="53" t="s">
        <v>68</v>
      </c>
      <c r="B98" s="68"/>
      <c r="C98" s="55" t="s">
        <v>32</v>
      </c>
      <c r="D98" s="56">
        <f>ROUND(D99*D100,2)</f>
        <v>0</v>
      </c>
      <c r="I98" s="62">
        <v>0</v>
      </c>
      <c r="L98" s="62">
        <v>0</v>
      </c>
    </row>
    <row r="99" spans="1:12" s="62" customFormat="1" hidden="1" outlineLevel="1" x14ac:dyDescent="0.2">
      <c r="A99" s="58"/>
      <c r="B99" s="59" t="s">
        <v>33</v>
      </c>
      <c r="C99" s="64"/>
      <c r="D99" s="64"/>
    </row>
    <row r="100" spans="1:12" s="62" customFormat="1" hidden="1" outlineLevel="1" x14ac:dyDescent="0.2">
      <c r="A100" s="58"/>
      <c r="B100" s="59" t="s">
        <v>35</v>
      </c>
      <c r="C100" s="64" t="s">
        <v>32</v>
      </c>
      <c r="D100" s="64"/>
      <c r="J100" s="62">
        <v>0</v>
      </c>
    </row>
    <row r="101" spans="1:12" s="62" customFormat="1" ht="15.75" hidden="1" outlineLevel="1" x14ac:dyDescent="0.25">
      <c r="A101" s="53" t="s">
        <v>69</v>
      </c>
      <c r="B101" s="54"/>
      <c r="C101" s="55" t="s">
        <v>32</v>
      </c>
      <c r="D101" s="56">
        <f>ROUND(D102*D103,2)</f>
        <v>0</v>
      </c>
      <c r="I101" s="62">
        <v>0</v>
      </c>
      <c r="L101" s="62">
        <v>0</v>
      </c>
    </row>
    <row r="102" spans="1:12" s="62" customFormat="1" hidden="1" outlineLevel="1" x14ac:dyDescent="0.2">
      <c r="A102" s="58"/>
      <c r="B102" s="59" t="s">
        <v>33</v>
      </c>
      <c r="C102" s="64"/>
      <c r="D102" s="64"/>
    </row>
    <row r="103" spans="1:12" s="62" customFormat="1" hidden="1" outlineLevel="1" x14ac:dyDescent="0.2">
      <c r="A103" s="58"/>
      <c r="B103" s="59" t="s">
        <v>35</v>
      </c>
      <c r="C103" s="64" t="s">
        <v>32</v>
      </c>
      <c r="D103" s="64"/>
      <c r="J103" s="62">
        <v>0</v>
      </c>
    </row>
    <row r="104" spans="1:12" s="62" customFormat="1" ht="15.75" hidden="1" outlineLevel="1" x14ac:dyDescent="0.25">
      <c r="A104" s="53" t="s">
        <v>70</v>
      </c>
      <c r="B104" s="54"/>
      <c r="C104" s="55" t="s">
        <v>32</v>
      </c>
      <c r="D104" s="56">
        <f>ROUND(D105*D106,2)</f>
        <v>0</v>
      </c>
      <c r="I104" s="62">
        <v>0</v>
      </c>
      <c r="L104" s="62">
        <v>0</v>
      </c>
    </row>
    <row r="105" spans="1:12" s="62" customFormat="1" hidden="1" outlineLevel="1" x14ac:dyDescent="0.2">
      <c r="A105" s="58"/>
      <c r="B105" s="59" t="s">
        <v>33</v>
      </c>
      <c r="C105" s="64"/>
      <c r="D105" s="64"/>
    </row>
    <row r="106" spans="1:12" s="62" customFormat="1" hidden="1" outlineLevel="1" x14ac:dyDescent="0.2">
      <c r="A106" s="58"/>
      <c r="B106" s="59" t="s">
        <v>35</v>
      </c>
      <c r="C106" s="64" t="s">
        <v>32</v>
      </c>
      <c r="D106" s="64"/>
      <c r="J106" s="62">
        <v>0</v>
      </c>
    </row>
    <row r="107" spans="1:12" s="62" customFormat="1" ht="15.75" hidden="1" outlineLevel="1" x14ac:dyDescent="0.25">
      <c r="A107" s="53" t="s">
        <v>71</v>
      </c>
      <c r="B107" s="68"/>
      <c r="C107" s="55" t="s">
        <v>32</v>
      </c>
      <c r="D107" s="56">
        <f>ROUND(D108*D109,2)</f>
        <v>0</v>
      </c>
      <c r="I107" s="62">
        <v>0</v>
      </c>
      <c r="L107" s="62">
        <v>0</v>
      </c>
    </row>
    <row r="108" spans="1:12" s="62" customFormat="1" hidden="1" outlineLevel="1" x14ac:dyDescent="0.2">
      <c r="A108" s="58"/>
      <c r="B108" s="59" t="s">
        <v>33</v>
      </c>
      <c r="C108" s="64"/>
      <c r="D108" s="64"/>
    </row>
    <row r="109" spans="1:12" s="62" customFormat="1" hidden="1" outlineLevel="1" x14ac:dyDescent="0.2">
      <c r="A109" s="58"/>
      <c r="B109" s="59" t="s">
        <v>35</v>
      </c>
      <c r="C109" s="64" t="s">
        <v>32</v>
      </c>
      <c r="D109" s="64"/>
      <c r="J109" s="62">
        <v>0</v>
      </c>
    </row>
    <row r="110" spans="1:12" s="62" customFormat="1" ht="15.75" hidden="1" outlineLevel="1" x14ac:dyDescent="0.25">
      <c r="A110" s="53" t="s">
        <v>72</v>
      </c>
      <c r="B110" s="68"/>
      <c r="C110" s="55" t="s">
        <v>32</v>
      </c>
      <c r="D110" s="56">
        <f>ROUND(D111*D112,2)</f>
        <v>0</v>
      </c>
      <c r="I110" s="62">
        <v>0</v>
      </c>
      <c r="L110" s="62">
        <v>0</v>
      </c>
    </row>
    <row r="111" spans="1:12" s="62" customFormat="1" hidden="1" outlineLevel="1" x14ac:dyDescent="0.2">
      <c r="A111" s="58"/>
      <c r="B111" s="59" t="s">
        <v>33</v>
      </c>
      <c r="C111" s="64"/>
      <c r="D111" s="64"/>
    </row>
    <row r="112" spans="1:12" s="62" customFormat="1" hidden="1" outlineLevel="1" x14ac:dyDescent="0.2">
      <c r="A112" s="58"/>
      <c r="B112" s="59" t="s">
        <v>35</v>
      </c>
      <c r="C112" s="64" t="s">
        <v>32</v>
      </c>
      <c r="D112" s="64"/>
      <c r="J112" s="62">
        <v>0</v>
      </c>
    </row>
    <row r="113" spans="1:12" s="62" customFormat="1" ht="15.75" hidden="1" outlineLevel="1" x14ac:dyDescent="0.25">
      <c r="A113" s="53" t="s">
        <v>73</v>
      </c>
      <c r="B113" s="68"/>
      <c r="C113" s="55" t="s">
        <v>32</v>
      </c>
      <c r="D113" s="56">
        <f>ROUND(D114*D115,2)</f>
        <v>0</v>
      </c>
      <c r="I113" s="62">
        <v>0</v>
      </c>
      <c r="L113" s="62">
        <v>0</v>
      </c>
    </row>
    <row r="114" spans="1:12" s="62" customFormat="1" hidden="1" outlineLevel="1" x14ac:dyDescent="0.2">
      <c r="A114" s="58"/>
      <c r="B114" s="59" t="s">
        <v>33</v>
      </c>
      <c r="C114" s="64"/>
      <c r="D114" s="64"/>
    </row>
    <row r="115" spans="1:12" s="62" customFormat="1" hidden="1" outlineLevel="1" x14ac:dyDescent="0.2">
      <c r="A115" s="58"/>
      <c r="B115" s="59" t="s">
        <v>35</v>
      </c>
      <c r="C115" s="64" t="s">
        <v>32</v>
      </c>
      <c r="D115" s="64"/>
      <c r="J115" s="62">
        <v>0</v>
      </c>
    </row>
    <row r="116" spans="1:12" s="62" customFormat="1" ht="15.75" hidden="1" outlineLevel="1" x14ac:dyDescent="0.25">
      <c r="A116" s="53" t="s">
        <v>74</v>
      </c>
      <c r="B116" s="68"/>
      <c r="C116" s="55" t="s">
        <v>32</v>
      </c>
      <c r="D116" s="56">
        <f>ROUND(D117*D118,2)</f>
        <v>0</v>
      </c>
      <c r="I116" s="62">
        <v>0</v>
      </c>
      <c r="L116" s="62">
        <v>0</v>
      </c>
    </row>
    <row r="117" spans="1:12" s="62" customFormat="1" hidden="1" outlineLevel="1" x14ac:dyDescent="0.2">
      <c r="A117" s="58"/>
      <c r="B117" s="59" t="s">
        <v>33</v>
      </c>
      <c r="C117" s="64"/>
      <c r="D117" s="64"/>
    </row>
    <row r="118" spans="1:12" s="62" customFormat="1" hidden="1" outlineLevel="1" x14ac:dyDescent="0.2">
      <c r="A118" s="58"/>
      <c r="B118" s="59" t="s">
        <v>35</v>
      </c>
      <c r="C118" s="64" t="s">
        <v>32</v>
      </c>
      <c r="D118" s="64"/>
      <c r="J118" s="62">
        <v>0</v>
      </c>
    </row>
    <row r="119" spans="1:12" s="62" customFormat="1" ht="15.75" hidden="1" outlineLevel="1" x14ac:dyDescent="0.25">
      <c r="A119" s="53" t="s">
        <v>75</v>
      </c>
      <c r="B119" s="68"/>
      <c r="C119" s="55" t="s">
        <v>32</v>
      </c>
      <c r="D119" s="56">
        <f>ROUND(D120*D121,2)</f>
        <v>0</v>
      </c>
      <c r="I119" s="62">
        <v>0</v>
      </c>
      <c r="L119" s="62">
        <v>0</v>
      </c>
    </row>
    <row r="120" spans="1:12" s="62" customFormat="1" hidden="1" outlineLevel="1" x14ac:dyDescent="0.2">
      <c r="A120" s="58"/>
      <c r="B120" s="59" t="s">
        <v>33</v>
      </c>
      <c r="C120" s="64"/>
      <c r="D120" s="64"/>
    </row>
    <row r="121" spans="1:12" s="62" customFormat="1" hidden="1" outlineLevel="1" x14ac:dyDescent="0.2">
      <c r="A121" s="58"/>
      <c r="B121" s="59" t="s">
        <v>35</v>
      </c>
      <c r="C121" s="64" t="s">
        <v>32</v>
      </c>
      <c r="D121" s="64"/>
      <c r="J121" s="62">
        <v>0</v>
      </c>
    </row>
    <row r="122" spans="1:12" s="62" customFormat="1" ht="15.75" hidden="1" outlineLevel="1" x14ac:dyDescent="0.25">
      <c r="A122" s="53" t="s">
        <v>76</v>
      </c>
      <c r="B122" s="54"/>
      <c r="C122" s="55" t="s">
        <v>32</v>
      </c>
      <c r="D122" s="56">
        <f>ROUND(D123*D124,2)</f>
        <v>0</v>
      </c>
      <c r="I122" s="62">
        <v>0</v>
      </c>
      <c r="L122" s="62">
        <v>0</v>
      </c>
    </row>
    <row r="123" spans="1:12" s="62" customFormat="1" hidden="1" outlineLevel="1" x14ac:dyDescent="0.2">
      <c r="A123" s="58"/>
      <c r="B123" s="59" t="s">
        <v>33</v>
      </c>
      <c r="C123" s="64"/>
      <c r="D123" s="64"/>
    </row>
    <row r="124" spans="1:12" s="62" customFormat="1" hidden="1" outlineLevel="1" x14ac:dyDescent="0.2">
      <c r="A124" s="58"/>
      <c r="B124" s="59" t="s">
        <v>35</v>
      </c>
      <c r="C124" s="64" t="s">
        <v>32</v>
      </c>
      <c r="D124" s="64"/>
      <c r="J124" s="62">
        <v>0</v>
      </c>
    </row>
    <row r="125" spans="1:12" s="62" customFormat="1" ht="15.75" hidden="1" outlineLevel="1" x14ac:dyDescent="0.25">
      <c r="A125" s="53" t="s">
        <v>77</v>
      </c>
      <c r="B125" s="54"/>
      <c r="C125" s="55" t="s">
        <v>32</v>
      </c>
      <c r="D125" s="56">
        <f>ROUND(D126*D127,2)</f>
        <v>0</v>
      </c>
      <c r="I125" s="62">
        <v>0</v>
      </c>
      <c r="L125" s="62">
        <v>0</v>
      </c>
    </row>
    <row r="126" spans="1:12" s="62" customFormat="1" hidden="1" outlineLevel="1" x14ac:dyDescent="0.2">
      <c r="A126" s="58"/>
      <c r="B126" s="59" t="s">
        <v>33</v>
      </c>
      <c r="C126" s="64"/>
      <c r="D126" s="64"/>
    </row>
    <row r="127" spans="1:12" s="62" customFormat="1" hidden="1" outlineLevel="1" x14ac:dyDescent="0.2">
      <c r="A127" s="58"/>
      <c r="B127" s="59" t="s">
        <v>35</v>
      </c>
      <c r="C127" s="64" t="s">
        <v>32</v>
      </c>
      <c r="D127" s="64"/>
      <c r="J127" s="62">
        <v>0</v>
      </c>
    </row>
    <row r="128" spans="1:12" s="62" customFormat="1" ht="15.75" hidden="1" outlineLevel="1" x14ac:dyDescent="0.25">
      <c r="A128" s="53" t="s">
        <v>78</v>
      </c>
      <c r="B128" s="54"/>
      <c r="C128" s="55" t="s">
        <v>32</v>
      </c>
      <c r="D128" s="56">
        <f>ROUND(D129*D130,2)</f>
        <v>0</v>
      </c>
      <c r="I128" s="62">
        <v>0</v>
      </c>
      <c r="L128" s="62">
        <v>0</v>
      </c>
    </row>
    <row r="129" spans="1:12" s="62" customFormat="1" hidden="1" outlineLevel="1" x14ac:dyDescent="0.2">
      <c r="A129" s="58"/>
      <c r="B129" s="59" t="s">
        <v>33</v>
      </c>
      <c r="C129" s="64"/>
      <c r="D129" s="64"/>
    </row>
    <row r="130" spans="1:12" s="62" customFormat="1" hidden="1" outlineLevel="1" x14ac:dyDescent="0.2">
      <c r="A130" s="58"/>
      <c r="B130" s="59" t="s">
        <v>35</v>
      </c>
      <c r="C130" s="64" t="s">
        <v>32</v>
      </c>
      <c r="D130" s="64"/>
      <c r="J130" s="62">
        <v>0</v>
      </c>
    </row>
    <row r="131" spans="1:12" s="62" customFormat="1" ht="15.75" hidden="1" outlineLevel="1" x14ac:dyDescent="0.25">
      <c r="A131" s="53" t="s">
        <v>79</v>
      </c>
      <c r="B131" s="72"/>
      <c r="C131" s="55" t="s">
        <v>32</v>
      </c>
      <c r="D131" s="56">
        <f>ROUND(D132*D133,2)</f>
        <v>0</v>
      </c>
      <c r="I131" s="62">
        <v>0</v>
      </c>
      <c r="L131" s="62">
        <v>0</v>
      </c>
    </row>
    <row r="132" spans="1:12" s="62" customFormat="1" hidden="1" outlineLevel="1" x14ac:dyDescent="0.2">
      <c r="A132" s="58"/>
      <c r="B132" s="59" t="s">
        <v>33</v>
      </c>
      <c r="C132" s="64"/>
      <c r="D132" s="64"/>
    </row>
    <row r="133" spans="1:12" s="62" customFormat="1" hidden="1" outlineLevel="1" x14ac:dyDescent="0.2">
      <c r="A133" s="58"/>
      <c r="B133" s="59" t="s">
        <v>35</v>
      </c>
      <c r="C133" s="64" t="s">
        <v>32</v>
      </c>
      <c r="D133" s="64"/>
      <c r="J133" s="62">
        <v>0</v>
      </c>
    </row>
    <row r="134" spans="1:12" s="62" customFormat="1" ht="15.75" hidden="1" outlineLevel="1" x14ac:dyDescent="0.25">
      <c r="A134" s="53" t="s">
        <v>80</v>
      </c>
      <c r="B134" s="68"/>
      <c r="C134" s="55" t="s">
        <v>32</v>
      </c>
      <c r="D134" s="56">
        <f>ROUND(D135*D136,2)</f>
        <v>0</v>
      </c>
      <c r="I134" s="62">
        <v>0</v>
      </c>
      <c r="L134" s="62">
        <v>0</v>
      </c>
    </row>
    <row r="135" spans="1:12" s="62" customFormat="1" hidden="1" outlineLevel="1" x14ac:dyDescent="0.2">
      <c r="A135" s="58"/>
      <c r="B135" s="59" t="s">
        <v>33</v>
      </c>
      <c r="C135" s="64"/>
      <c r="D135" s="64"/>
    </row>
    <row r="136" spans="1:12" s="62" customFormat="1" hidden="1" outlineLevel="1" x14ac:dyDescent="0.2">
      <c r="A136" s="58"/>
      <c r="B136" s="59" t="s">
        <v>35</v>
      </c>
      <c r="C136" s="64" t="s">
        <v>32</v>
      </c>
      <c r="D136" s="64"/>
      <c r="J136" s="62">
        <v>0</v>
      </c>
    </row>
    <row r="137" spans="1:12" s="62" customFormat="1" ht="15.75" hidden="1" outlineLevel="1" x14ac:dyDescent="0.25">
      <c r="A137" s="53" t="s">
        <v>81</v>
      </c>
      <c r="B137" s="68"/>
      <c r="C137" s="55" t="s">
        <v>32</v>
      </c>
      <c r="D137" s="56">
        <f>ROUND(D138*D139,2)</f>
        <v>0</v>
      </c>
      <c r="I137" s="62">
        <v>0</v>
      </c>
      <c r="L137" s="62">
        <v>0</v>
      </c>
    </row>
    <row r="138" spans="1:12" s="62" customFormat="1" hidden="1" outlineLevel="1" x14ac:dyDescent="0.2">
      <c r="A138" s="58"/>
      <c r="B138" s="59" t="s">
        <v>33</v>
      </c>
      <c r="C138" s="64"/>
      <c r="D138" s="64"/>
    </row>
    <row r="139" spans="1:12" s="62" customFormat="1" hidden="1" outlineLevel="1" x14ac:dyDescent="0.2">
      <c r="A139" s="58"/>
      <c r="B139" s="59" t="s">
        <v>35</v>
      </c>
      <c r="C139" s="64" t="s">
        <v>32</v>
      </c>
      <c r="D139" s="64"/>
      <c r="J139" s="62">
        <v>0</v>
      </c>
    </row>
    <row r="140" spans="1:12" s="62" customFormat="1" ht="15.75" hidden="1" outlineLevel="1" x14ac:dyDescent="0.25">
      <c r="A140" s="53" t="s">
        <v>82</v>
      </c>
      <c r="B140" s="68"/>
      <c r="C140" s="55" t="s">
        <v>32</v>
      </c>
      <c r="D140" s="56">
        <f>ROUND(D141*D142,2)</f>
        <v>0</v>
      </c>
      <c r="I140" s="62">
        <v>0</v>
      </c>
      <c r="L140" s="62">
        <v>0</v>
      </c>
    </row>
    <row r="141" spans="1:12" s="62" customFormat="1" hidden="1" outlineLevel="1" x14ac:dyDescent="0.2">
      <c r="A141" s="58"/>
      <c r="B141" s="59" t="s">
        <v>33</v>
      </c>
      <c r="C141" s="64"/>
      <c r="D141" s="64"/>
    </row>
    <row r="142" spans="1:12" s="62" customFormat="1" hidden="1" outlineLevel="1" x14ac:dyDescent="0.2">
      <c r="A142" s="58"/>
      <c r="B142" s="59" t="s">
        <v>35</v>
      </c>
      <c r="C142" s="64" t="s">
        <v>32</v>
      </c>
      <c r="D142" s="64"/>
      <c r="J142" s="62">
        <v>0</v>
      </c>
    </row>
    <row r="143" spans="1:12" s="62" customFormat="1" ht="15.75" hidden="1" outlineLevel="1" x14ac:dyDescent="0.25">
      <c r="A143" s="53" t="s">
        <v>83</v>
      </c>
      <c r="B143" s="71"/>
      <c r="C143" s="55" t="s">
        <v>32</v>
      </c>
      <c r="D143" s="56">
        <f>ROUND(D144*D145,2)</f>
        <v>0</v>
      </c>
      <c r="I143" s="62">
        <v>0</v>
      </c>
      <c r="L143" s="62">
        <v>0</v>
      </c>
    </row>
    <row r="144" spans="1:12" s="62" customFormat="1" hidden="1" outlineLevel="1" x14ac:dyDescent="0.2">
      <c r="A144" s="58"/>
      <c r="B144" s="59" t="s">
        <v>33</v>
      </c>
      <c r="C144" s="64"/>
      <c r="D144" s="64"/>
    </row>
    <row r="145" spans="1:12" s="62" customFormat="1" hidden="1" outlineLevel="1" x14ac:dyDescent="0.2">
      <c r="A145" s="58"/>
      <c r="B145" s="59" t="s">
        <v>35</v>
      </c>
      <c r="C145" s="64" t="s">
        <v>32</v>
      </c>
      <c r="D145" s="64"/>
      <c r="J145" s="62">
        <v>0</v>
      </c>
    </row>
    <row r="146" spans="1:12" s="62" customFormat="1" ht="15.75" hidden="1" outlineLevel="1" x14ac:dyDescent="0.25">
      <c r="A146" s="53" t="s">
        <v>84</v>
      </c>
      <c r="B146" s="71"/>
      <c r="C146" s="55" t="s">
        <v>32</v>
      </c>
      <c r="D146" s="56">
        <f>ROUND(D147*D148,2)</f>
        <v>0</v>
      </c>
      <c r="I146" s="62">
        <v>0</v>
      </c>
      <c r="L146" s="62">
        <v>0</v>
      </c>
    </row>
    <row r="147" spans="1:12" s="62" customFormat="1" hidden="1" outlineLevel="1" x14ac:dyDescent="0.2">
      <c r="A147" s="58"/>
      <c r="B147" s="59" t="s">
        <v>33</v>
      </c>
      <c r="C147" s="64"/>
      <c r="D147" s="64"/>
    </row>
    <row r="148" spans="1:12" s="62" customFormat="1" hidden="1" outlineLevel="1" x14ac:dyDescent="0.2">
      <c r="A148" s="58"/>
      <c r="B148" s="59" t="s">
        <v>35</v>
      </c>
      <c r="C148" s="64" t="s">
        <v>32</v>
      </c>
      <c r="D148" s="64"/>
      <c r="J148" s="62">
        <v>0</v>
      </c>
    </row>
    <row r="149" spans="1:12" s="62" customFormat="1" ht="15.75" hidden="1" outlineLevel="1" x14ac:dyDescent="0.25">
      <c r="A149" s="53" t="s">
        <v>85</v>
      </c>
      <c r="B149" s="71"/>
      <c r="C149" s="55" t="s">
        <v>32</v>
      </c>
      <c r="D149" s="56">
        <f>ROUND(D150*D151,2)</f>
        <v>0</v>
      </c>
      <c r="I149" s="62">
        <v>0</v>
      </c>
      <c r="L149" s="62">
        <v>0</v>
      </c>
    </row>
    <row r="150" spans="1:12" s="62" customFormat="1" hidden="1" outlineLevel="1" x14ac:dyDescent="0.2">
      <c r="A150" s="58"/>
      <c r="B150" s="59" t="s">
        <v>33</v>
      </c>
      <c r="C150" s="64"/>
      <c r="D150" s="64"/>
    </row>
    <row r="151" spans="1:12" s="62" customFormat="1" hidden="1" outlineLevel="1" x14ac:dyDescent="0.2">
      <c r="A151" s="58"/>
      <c r="B151" s="59" t="s">
        <v>35</v>
      </c>
      <c r="C151" s="64" t="s">
        <v>32</v>
      </c>
      <c r="D151" s="64"/>
      <c r="J151" s="62">
        <v>0</v>
      </c>
    </row>
    <row r="152" spans="1:12" s="62" customFormat="1" ht="15.75" hidden="1" outlineLevel="1" x14ac:dyDescent="0.25">
      <c r="A152" s="53" t="s">
        <v>86</v>
      </c>
      <c r="B152" s="71"/>
      <c r="C152" s="55" t="s">
        <v>32</v>
      </c>
      <c r="D152" s="56">
        <f>ROUND(D153*D154,2)</f>
        <v>0</v>
      </c>
      <c r="I152" s="62">
        <v>0</v>
      </c>
      <c r="L152" s="62">
        <v>0</v>
      </c>
    </row>
    <row r="153" spans="1:12" s="62" customFormat="1" hidden="1" outlineLevel="1" x14ac:dyDescent="0.2">
      <c r="A153" s="58"/>
      <c r="B153" s="59" t="s">
        <v>33</v>
      </c>
      <c r="C153" s="64"/>
      <c r="D153" s="64"/>
    </row>
    <row r="154" spans="1:12" s="62" customFormat="1" hidden="1" outlineLevel="1" x14ac:dyDescent="0.2">
      <c r="A154" s="58"/>
      <c r="B154" s="59" t="s">
        <v>35</v>
      </c>
      <c r="C154" s="64" t="s">
        <v>32</v>
      </c>
      <c r="D154" s="64"/>
      <c r="J154" s="62">
        <v>0</v>
      </c>
    </row>
    <row r="155" spans="1:12" s="62" customFormat="1" ht="15.75" hidden="1" outlineLevel="1" x14ac:dyDescent="0.25">
      <c r="A155" s="53" t="s">
        <v>87</v>
      </c>
      <c r="B155" s="71"/>
      <c r="C155" s="55" t="s">
        <v>32</v>
      </c>
      <c r="D155" s="56">
        <f>ROUND(D156*D157,2)</f>
        <v>0</v>
      </c>
      <c r="I155" s="62">
        <v>0</v>
      </c>
      <c r="L155" s="62">
        <v>0</v>
      </c>
    </row>
    <row r="156" spans="1:12" s="62" customFormat="1" hidden="1" outlineLevel="1" x14ac:dyDescent="0.2">
      <c r="A156" s="58"/>
      <c r="B156" s="59" t="s">
        <v>33</v>
      </c>
      <c r="C156" s="64"/>
      <c r="D156" s="64"/>
    </row>
    <row r="157" spans="1:12" s="62" customFormat="1" hidden="1" outlineLevel="1" x14ac:dyDescent="0.2">
      <c r="A157" s="58"/>
      <c r="B157" s="59" t="s">
        <v>35</v>
      </c>
      <c r="C157" s="64" t="s">
        <v>32</v>
      </c>
      <c r="D157" s="64"/>
      <c r="J157" s="62">
        <v>0</v>
      </c>
    </row>
    <row r="158" spans="1:12" s="62" customFormat="1" ht="15.75" hidden="1" outlineLevel="1" x14ac:dyDescent="0.25">
      <c r="A158" s="53" t="s">
        <v>88</v>
      </c>
      <c r="B158" s="71"/>
      <c r="C158" s="55" t="s">
        <v>32</v>
      </c>
      <c r="D158" s="56">
        <f>ROUND(D159*D160,2)</f>
        <v>0</v>
      </c>
      <c r="I158" s="62">
        <v>0</v>
      </c>
      <c r="L158" s="62">
        <v>0</v>
      </c>
    </row>
    <row r="159" spans="1:12" s="62" customFormat="1" hidden="1" outlineLevel="1" x14ac:dyDescent="0.2">
      <c r="A159" s="58"/>
      <c r="B159" s="59" t="s">
        <v>33</v>
      </c>
      <c r="C159" s="64"/>
      <c r="D159" s="64"/>
    </row>
    <row r="160" spans="1:12" s="62" customFormat="1" hidden="1" outlineLevel="1" x14ac:dyDescent="0.2">
      <c r="A160" s="58"/>
      <c r="B160" s="59" t="s">
        <v>35</v>
      </c>
      <c r="C160" s="64" t="s">
        <v>32</v>
      </c>
      <c r="D160" s="64"/>
      <c r="J160" s="62">
        <v>0</v>
      </c>
    </row>
    <row r="161" spans="1:12" s="62" customFormat="1" ht="15.75" hidden="1" outlineLevel="1" x14ac:dyDescent="0.25">
      <c r="A161" s="53" t="s">
        <v>89</v>
      </c>
      <c r="B161" s="71"/>
      <c r="C161" s="55" t="s">
        <v>32</v>
      </c>
      <c r="D161" s="56">
        <f>ROUND(D162*D163,2)</f>
        <v>0</v>
      </c>
      <c r="I161" s="62">
        <v>0</v>
      </c>
      <c r="L161" s="62">
        <v>0</v>
      </c>
    </row>
    <row r="162" spans="1:12" s="62" customFormat="1" hidden="1" outlineLevel="1" x14ac:dyDescent="0.2">
      <c r="A162" s="58"/>
      <c r="B162" s="59" t="s">
        <v>33</v>
      </c>
      <c r="C162" s="64"/>
      <c r="D162" s="64"/>
    </row>
    <row r="163" spans="1:12" s="62" customFormat="1" hidden="1" outlineLevel="1" x14ac:dyDescent="0.2">
      <c r="A163" s="58"/>
      <c r="B163" s="59" t="s">
        <v>35</v>
      </c>
      <c r="C163" s="64" t="s">
        <v>32</v>
      </c>
      <c r="D163" s="64"/>
      <c r="J163" s="62">
        <v>0</v>
      </c>
    </row>
    <row r="164" spans="1:12" s="62" customFormat="1" ht="15.75" hidden="1" outlineLevel="1" x14ac:dyDescent="0.25">
      <c r="A164" s="53" t="s">
        <v>90</v>
      </c>
      <c r="B164" s="71"/>
      <c r="C164" s="55" t="s">
        <v>32</v>
      </c>
      <c r="D164" s="56">
        <f>ROUND(D165*D166,2)</f>
        <v>0</v>
      </c>
      <c r="I164" s="62">
        <v>0</v>
      </c>
      <c r="L164" s="62">
        <v>0</v>
      </c>
    </row>
    <row r="165" spans="1:12" s="62" customFormat="1" hidden="1" outlineLevel="1" x14ac:dyDescent="0.2">
      <c r="A165" s="58"/>
      <c r="B165" s="59" t="s">
        <v>33</v>
      </c>
      <c r="C165" s="64"/>
      <c r="D165" s="64"/>
    </row>
    <row r="166" spans="1:12" s="62" customFormat="1" hidden="1" outlineLevel="1" x14ac:dyDescent="0.2">
      <c r="A166" s="58"/>
      <c r="B166" s="59" t="s">
        <v>35</v>
      </c>
      <c r="C166" s="64" t="s">
        <v>32</v>
      </c>
      <c r="D166" s="64"/>
      <c r="J166" s="62">
        <v>0</v>
      </c>
    </row>
    <row r="167" spans="1:12" s="62" customFormat="1" ht="15.75" hidden="1" outlineLevel="1" x14ac:dyDescent="0.25">
      <c r="A167" s="53" t="s">
        <v>91</v>
      </c>
      <c r="B167" s="71"/>
      <c r="C167" s="55" t="s">
        <v>32</v>
      </c>
      <c r="D167" s="56">
        <f>ROUND(D168*D169,2)</f>
        <v>0</v>
      </c>
      <c r="I167" s="62">
        <v>0</v>
      </c>
      <c r="L167" s="62">
        <v>0</v>
      </c>
    </row>
    <row r="168" spans="1:12" s="62" customFormat="1" hidden="1" outlineLevel="1" x14ac:dyDescent="0.2">
      <c r="A168" s="58"/>
      <c r="B168" s="59" t="s">
        <v>33</v>
      </c>
      <c r="C168" s="64"/>
      <c r="D168" s="64"/>
    </row>
    <row r="169" spans="1:12" s="62" customFormat="1" hidden="1" outlineLevel="1" x14ac:dyDescent="0.2">
      <c r="A169" s="58"/>
      <c r="B169" s="59" t="s">
        <v>35</v>
      </c>
      <c r="C169" s="64" t="s">
        <v>32</v>
      </c>
      <c r="D169" s="64"/>
      <c r="J169" s="62">
        <v>0</v>
      </c>
    </row>
    <row r="170" spans="1:12" s="62" customFormat="1" ht="15.75" hidden="1" outlineLevel="1" x14ac:dyDescent="0.25">
      <c r="A170" s="53" t="s">
        <v>92</v>
      </c>
      <c r="B170" s="71"/>
      <c r="C170" s="55" t="s">
        <v>32</v>
      </c>
      <c r="D170" s="56">
        <f>ROUND(D171*D172,2)</f>
        <v>0</v>
      </c>
      <c r="I170" s="62">
        <v>0</v>
      </c>
      <c r="L170" s="62">
        <v>0</v>
      </c>
    </row>
    <row r="171" spans="1:12" s="62" customFormat="1" hidden="1" outlineLevel="1" x14ac:dyDescent="0.2">
      <c r="A171" s="58"/>
      <c r="B171" s="59" t="s">
        <v>33</v>
      </c>
      <c r="C171" s="64"/>
      <c r="D171" s="64"/>
    </row>
    <row r="172" spans="1:12" s="62" customFormat="1" hidden="1" outlineLevel="1" x14ac:dyDescent="0.2">
      <c r="A172" s="58"/>
      <c r="B172" s="59" t="s">
        <v>35</v>
      </c>
      <c r="C172" s="64" t="s">
        <v>32</v>
      </c>
      <c r="D172" s="64"/>
      <c r="J172" s="62">
        <v>0</v>
      </c>
    </row>
    <row r="173" spans="1:12" s="62" customFormat="1" ht="15.75" hidden="1" outlineLevel="1" x14ac:dyDescent="0.25">
      <c r="A173" s="53" t="s">
        <v>93</v>
      </c>
      <c r="B173" s="71"/>
      <c r="C173" s="55" t="s">
        <v>32</v>
      </c>
      <c r="D173" s="56">
        <f>ROUND(D174*D175,2)</f>
        <v>0</v>
      </c>
      <c r="I173" s="62">
        <v>0</v>
      </c>
      <c r="L173" s="62">
        <v>0</v>
      </c>
    </row>
    <row r="174" spans="1:12" s="62" customFormat="1" hidden="1" outlineLevel="1" x14ac:dyDescent="0.2">
      <c r="A174" s="58"/>
      <c r="B174" s="59" t="s">
        <v>33</v>
      </c>
      <c r="C174" s="64"/>
      <c r="D174" s="64"/>
    </row>
    <row r="175" spans="1:12" s="62" customFormat="1" hidden="1" outlineLevel="1" x14ac:dyDescent="0.2">
      <c r="A175" s="58"/>
      <c r="B175" s="59" t="s">
        <v>35</v>
      </c>
      <c r="C175" s="64" t="s">
        <v>32</v>
      </c>
      <c r="D175" s="64"/>
      <c r="J175" s="62">
        <v>0</v>
      </c>
    </row>
    <row r="176" spans="1:12" s="62" customFormat="1" ht="15.75" hidden="1" outlineLevel="1" x14ac:dyDescent="0.25">
      <c r="A176" s="53" t="s">
        <v>94</v>
      </c>
      <c r="B176" s="54"/>
      <c r="C176" s="55" t="s">
        <v>32</v>
      </c>
      <c r="D176" s="56">
        <f>ROUND(D177*D178,2)</f>
        <v>0</v>
      </c>
      <c r="I176" s="62">
        <v>0</v>
      </c>
      <c r="L176" s="62">
        <v>0</v>
      </c>
    </row>
    <row r="177" spans="1:12" s="62" customFormat="1" hidden="1" outlineLevel="1" x14ac:dyDescent="0.2">
      <c r="A177" s="58"/>
      <c r="B177" s="59" t="s">
        <v>33</v>
      </c>
      <c r="C177" s="64"/>
      <c r="D177" s="64"/>
    </row>
    <row r="178" spans="1:12" s="62" customFormat="1" hidden="1" outlineLevel="1" x14ac:dyDescent="0.2">
      <c r="A178" s="58"/>
      <c r="B178" s="59" t="s">
        <v>35</v>
      </c>
      <c r="C178" s="64" t="s">
        <v>32</v>
      </c>
      <c r="D178" s="64"/>
      <c r="J178" s="62">
        <v>0</v>
      </c>
    </row>
    <row r="179" spans="1:12" s="62" customFormat="1" ht="15.75" hidden="1" outlineLevel="1" x14ac:dyDescent="0.25">
      <c r="A179" s="53" t="s">
        <v>95</v>
      </c>
      <c r="B179" s="68"/>
      <c r="C179" s="55" t="s">
        <v>32</v>
      </c>
      <c r="D179" s="56">
        <f>ROUND(D180*D181,2)</f>
        <v>0</v>
      </c>
      <c r="I179" s="62">
        <v>0</v>
      </c>
      <c r="L179" s="62">
        <v>0</v>
      </c>
    </row>
    <row r="180" spans="1:12" s="62" customFormat="1" hidden="1" outlineLevel="1" x14ac:dyDescent="0.2">
      <c r="A180" s="58"/>
      <c r="B180" s="59" t="s">
        <v>33</v>
      </c>
      <c r="C180" s="64"/>
      <c r="D180" s="64"/>
    </row>
    <row r="181" spans="1:12" s="62" customFormat="1" hidden="1" outlineLevel="1" x14ac:dyDescent="0.2">
      <c r="A181" s="58"/>
      <c r="B181" s="59" t="s">
        <v>35</v>
      </c>
      <c r="C181" s="64" t="s">
        <v>32</v>
      </c>
      <c r="D181" s="64"/>
      <c r="J181" s="62">
        <v>0</v>
      </c>
    </row>
    <row r="182" spans="1:12" s="62" customFormat="1" ht="15.75" hidden="1" outlineLevel="1" x14ac:dyDescent="0.25">
      <c r="A182" s="53" t="s">
        <v>96</v>
      </c>
      <c r="B182" s="68"/>
      <c r="C182" s="55" t="s">
        <v>32</v>
      </c>
      <c r="D182" s="56">
        <f>ROUND(D183*D184,2)</f>
        <v>0</v>
      </c>
      <c r="I182" s="62">
        <v>0</v>
      </c>
      <c r="L182" s="62">
        <v>0</v>
      </c>
    </row>
    <row r="183" spans="1:12" s="62" customFormat="1" hidden="1" outlineLevel="1" x14ac:dyDescent="0.2">
      <c r="A183" s="58"/>
      <c r="B183" s="59" t="s">
        <v>33</v>
      </c>
      <c r="C183" s="64"/>
      <c r="D183" s="64"/>
    </row>
    <row r="184" spans="1:12" s="62" customFormat="1" hidden="1" outlineLevel="1" x14ac:dyDescent="0.2">
      <c r="A184" s="58"/>
      <c r="B184" s="59" t="s">
        <v>35</v>
      </c>
      <c r="C184" s="64" t="s">
        <v>32</v>
      </c>
      <c r="D184" s="64"/>
      <c r="J184" s="62">
        <v>0</v>
      </c>
    </row>
    <row r="185" spans="1:12" s="62" customFormat="1" ht="15.75" hidden="1" outlineLevel="1" x14ac:dyDescent="0.25">
      <c r="A185" s="53" t="s">
        <v>97</v>
      </c>
      <c r="B185" s="71"/>
      <c r="C185" s="55" t="s">
        <v>32</v>
      </c>
      <c r="D185" s="56">
        <f>ROUND(D186*D187,2)</f>
        <v>0</v>
      </c>
      <c r="I185" s="62">
        <v>0</v>
      </c>
      <c r="L185" s="62">
        <v>0</v>
      </c>
    </row>
    <row r="186" spans="1:12" s="62" customFormat="1" hidden="1" outlineLevel="1" x14ac:dyDescent="0.2">
      <c r="A186" s="58"/>
      <c r="B186" s="59" t="s">
        <v>33</v>
      </c>
      <c r="C186" s="64"/>
      <c r="D186" s="64"/>
    </row>
    <row r="187" spans="1:12" s="62" customFormat="1" hidden="1" outlineLevel="1" x14ac:dyDescent="0.2">
      <c r="A187" s="58"/>
      <c r="B187" s="59" t="s">
        <v>35</v>
      </c>
      <c r="C187" s="64" t="s">
        <v>32</v>
      </c>
      <c r="D187" s="64"/>
      <c r="J187" s="62">
        <v>0</v>
      </c>
    </row>
    <row r="188" spans="1:12" s="62" customFormat="1" ht="15.75" hidden="1" outlineLevel="1" x14ac:dyDescent="0.25">
      <c r="A188" s="53" t="s">
        <v>98</v>
      </c>
      <c r="B188" s="71"/>
      <c r="C188" s="55" t="s">
        <v>32</v>
      </c>
      <c r="D188" s="56">
        <f>ROUND(D189*D190,2)</f>
        <v>0</v>
      </c>
      <c r="I188" s="62">
        <v>0</v>
      </c>
      <c r="L188" s="62">
        <v>0</v>
      </c>
    </row>
    <row r="189" spans="1:12" s="62" customFormat="1" hidden="1" outlineLevel="1" x14ac:dyDescent="0.2">
      <c r="A189" s="58"/>
      <c r="B189" s="59" t="s">
        <v>33</v>
      </c>
      <c r="C189" s="64"/>
      <c r="D189" s="64"/>
    </row>
    <row r="190" spans="1:12" s="62" customFormat="1" hidden="1" outlineLevel="1" x14ac:dyDescent="0.2">
      <c r="A190" s="58"/>
      <c r="B190" s="59" t="s">
        <v>35</v>
      </c>
      <c r="C190" s="64" t="s">
        <v>32</v>
      </c>
      <c r="D190" s="64"/>
      <c r="J190" s="62">
        <v>0</v>
      </c>
    </row>
    <row r="191" spans="1:12" s="62" customFormat="1" ht="15.75" hidden="1" outlineLevel="1" x14ac:dyDescent="0.25">
      <c r="A191" s="53" t="s">
        <v>99</v>
      </c>
      <c r="B191" s="73"/>
      <c r="C191" s="55" t="s">
        <v>32</v>
      </c>
      <c r="D191" s="56">
        <f>ROUND(D192*D193,2)</f>
        <v>0</v>
      </c>
      <c r="I191" s="62">
        <v>0</v>
      </c>
      <c r="L191" s="62">
        <v>0</v>
      </c>
    </row>
    <row r="192" spans="1:12" s="62" customFormat="1" hidden="1" outlineLevel="1" x14ac:dyDescent="0.2">
      <c r="A192" s="58"/>
      <c r="B192" s="59" t="s">
        <v>33</v>
      </c>
      <c r="C192" s="64"/>
      <c r="D192" s="64"/>
    </row>
    <row r="193" spans="1:12" s="62" customFormat="1" hidden="1" outlineLevel="1" x14ac:dyDescent="0.2">
      <c r="A193" s="58"/>
      <c r="B193" s="59" t="s">
        <v>35</v>
      </c>
      <c r="C193" s="64" t="s">
        <v>32</v>
      </c>
      <c r="D193" s="64"/>
      <c r="J193" s="62">
        <v>0</v>
      </c>
    </row>
    <row r="194" spans="1:12" s="62" customFormat="1" ht="15.75" hidden="1" outlineLevel="1" x14ac:dyDescent="0.25">
      <c r="A194" s="53" t="s">
        <v>100</v>
      </c>
      <c r="B194" s="71"/>
      <c r="C194" s="55" t="s">
        <v>32</v>
      </c>
      <c r="D194" s="56">
        <f>ROUND(D195*D196,2)</f>
        <v>0</v>
      </c>
      <c r="I194" s="62">
        <v>0</v>
      </c>
      <c r="L194" s="62">
        <v>0</v>
      </c>
    </row>
    <row r="195" spans="1:12" s="62" customFormat="1" hidden="1" outlineLevel="1" x14ac:dyDescent="0.2">
      <c r="A195" s="58"/>
      <c r="B195" s="59" t="s">
        <v>33</v>
      </c>
      <c r="C195" s="64"/>
      <c r="D195" s="64"/>
    </row>
    <row r="196" spans="1:12" s="62" customFormat="1" hidden="1" outlineLevel="1" x14ac:dyDescent="0.2">
      <c r="A196" s="58"/>
      <c r="B196" s="59" t="s">
        <v>35</v>
      </c>
      <c r="C196" s="64" t="s">
        <v>32</v>
      </c>
      <c r="D196" s="64"/>
      <c r="J196" s="62">
        <v>0</v>
      </c>
    </row>
    <row r="197" spans="1:12" s="62" customFormat="1" ht="15.75" hidden="1" outlineLevel="1" x14ac:dyDescent="0.25">
      <c r="A197" s="53" t="s">
        <v>101</v>
      </c>
      <c r="B197" s="71"/>
      <c r="C197" s="55" t="s">
        <v>32</v>
      </c>
      <c r="D197" s="56">
        <f>ROUND(D198*D199,2)</f>
        <v>0</v>
      </c>
      <c r="I197" s="62">
        <v>0</v>
      </c>
      <c r="L197" s="62">
        <v>0</v>
      </c>
    </row>
    <row r="198" spans="1:12" s="62" customFormat="1" hidden="1" outlineLevel="1" x14ac:dyDescent="0.2">
      <c r="A198" s="58"/>
      <c r="B198" s="59" t="s">
        <v>33</v>
      </c>
      <c r="C198" s="64"/>
      <c r="D198" s="64"/>
    </row>
    <row r="199" spans="1:12" s="62" customFormat="1" hidden="1" outlineLevel="1" x14ac:dyDescent="0.2">
      <c r="A199" s="58"/>
      <c r="B199" s="59" t="s">
        <v>35</v>
      </c>
      <c r="C199" s="64" t="s">
        <v>32</v>
      </c>
      <c r="D199" s="64"/>
      <c r="J199" s="62">
        <v>0</v>
      </c>
    </row>
    <row r="200" spans="1:12" s="62" customFormat="1" ht="15.75" hidden="1" outlineLevel="1" x14ac:dyDescent="0.25">
      <c r="A200" s="53" t="s">
        <v>102</v>
      </c>
      <c r="B200" s="71"/>
      <c r="C200" s="55" t="s">
        <v>32</v>
      </c>
      <c r="D200" s="56">
        <f>ROUND(D201*D202,2)</f>
        <v>0</v>
      </c>
      <c r="I200" s="62">
        <v>0</v>
      </c>
      <c r="L200" s="62">
        <v>0</v>
      </c>
    </row>
    <row r="201" spans="1:12" s="62" customFormat="1" hidden="1" outlineLevel="1" x14ac:dyDescent="0.2">
      <c r="A201" s="58"/>
      <c r="B201" s="59" t="s">
        <v>33</v>
      </c>
      <c r="C201" s="64"/>
      <c r="D201" s="64"/>
    </row>
    <row r="202" spans="1:12" s="62" customFormat="1" hidden="1" outlineLevel="1" x14ac:dyDescent="0.2">
      <c r="A202" s="58"/>
      <c r="B202" s="59" t="s">
        <v>35</v>
      </c>
      <c r="C202" s="64" t="s">
        <v>32</v>
      </c>
      <c r="D202" s="64"/>
      <c r="J202" s="62">
        <v>0</v>
      </c>
    </row>
    <row r="203" spans="1:12" s="62" customFormat="1" ht="15.75" hidden="1" outlineLevel="1" x14ac:dyDescent="0.25">
      <c r="A203" s="53" t="s">
        <v>103</v>
      </c>
      <c r="B203" s="71"/>
      <c r="C203" s="55" t="s">
        <v>32</v>
      </c>
      <c r="D203" s="56">
        <f>ROUND(D204*D205,2)</f>
        <v>0</v>
      </c>
      <c r="I203" s="62">
        <v>0</v>
      </c>
      <c r="L203" s="62">
        <v>0</v>
      </c>
    </row>
    <row r="204" spans="1:12" s="62" customFormat="1" hidden="1" outlineLevel="1" x14ac:dyDescent="0.2">
      <c r="A204" s="58"/>
      <c r="B204" s="59" t="s">
        <v>33</v>
      </c>
      <c r="C204" s="64"/>
      <c r="D204" s="64"/>
    </row>
    <row r="205" spans="1:12" s="62" customFormat="1" hidden="1" outlineLevel="1" x14ac:dyDescent="0.2">
      <c r="A205" s="58"/>
      <c r="B205" s="59" t="s">
        <v>35</v>
      </c>
      <c r="C205" s="64" t="s">
        <v>32</v>
      </c>
      <c r="D205" s="64"/>
      <c r="J205" s="62">
        <v>0</v>
      </c>
    </row>
    <row r="206" spans="1:12" s="62" customFormat="1" ht="15.75" hidden="1" outlineLevel="1" x14ac:dyDescent="0.25">
      <c r="A206" s="53" t="s">
        <v>104</v>
      </c>
      <c r="B206" s="70"/>
      <c r="C206" s="55" t="s">
        <v>32</v>
      </c>
      <c r="D206" s="56">
        <f>ROUND(D207*D208,2)</f>
        <v>0</v>
      </c>
      <c r="I206" s="62">
        <v>0</v>
      </c>
      <c r="L206" s="62">
        <v>0</v>
      </c>
    </row>
    <row r="207" spans="1:12" s="62" customFormat="1" hidden="1" outlineLevel="1" x14ac:dyDescent="0.2">
      <c r="A207" s="58"/>
      <c r="B207" s="59" t="s">
        <v>33</v>
      </c>
      <c r="C207" s="64"/>
      <c r="D207" s="64"/>
    </row>
    <row r="208" spans="1:12" s="62" customFormat="1" hidden="1" outlineLevel="1" x14ac:dyDescent="0.2">
      <c r="A208" s="58"/>
      <c r="B208" s="59" t="s">
        <v>35</v>
      </c>
      <c r="C208" s="64" t="s">
        <v>32</v>
      </c>
      <c r="D208" s="64"/>
      <c r="J208" s="62">
        <v>0</v>
      </c>
    </row>
    <row r="209" spans="1:12" s="62" customFormat="1" ht="15.75" hidden="1" outlineLevel="1" x14ac:dyDescent="0.25">
      <c r="A209" s="53" t="s">
        <v>105</v>
      </c>
      <c r="B209" s="74"/>
      <c r="C209" s="55" t="s">
        <v>32</v>
      </c>
      <c r="D209" s="56">
        <f>ROUND(D210*D211,2)</f>
        <v>0</v>
      </c>
      <c r="I209" s="62">
        <v>0</v>
      </c>
      <c r="L209" s="62">
        <v>0</v>
      </c>
    </row>
    <row r="210" spans="1:12" s="62" customFormat="1" hidden="1" outlineLevel="1" x14ac:dyDescent="0.2">
      <c r="A210" s="58"/>
      <c r="B210" s="59" t="s">
        <v>33</v>
      </c>
      <c r="C210" s="75"/>
      <c r="D210" s="64"/>
    </row>
    <row r="211" spans="1:12" s="62" customFormat="1" hidden="1" outlineLevel="1" x14ac:dyDescent="0.2">
      <c r="A211" s="58"/>
      <c r="B211" s="59" t="s">
        <v>35</v>
      </c>
      <c r="C211" s="64" t="s">
        <v>32</v>
      </c>
      <c r="D211" s="64"/>
      <c r="J211" s="62">
        <v>0</v>
      </c>
    </row>
    <row r="212" spans="1:12" s="62" customFormat="1" ht="15.75" hidden="1" outlineLevel="1" x14ac:dyDescent="0.25">
      <c r="A212" s="53" t="s">
        <v>106</v>
      </c>
      <c r="B212" s="76"/>
      <c r="C212" s="55" t="s">
        <v>32</v>
      </c>
      <c r="D212" s="56">
        <f>ROUND(D213*D214,2)</f>
        <v>0</v>
      </c>
      <c r="I212" s="62">
        <v>0</v>
      </c>
      <c r="L212" s="62">
        <v>0</v>
      </c>
    </row>
    <row r="213" spans="1:12" s="62" customFormat="1" hidden="1" outlineLevel="1" x14ac:dyDescent="0.2">
      <c r="A213" s="58"/>
      <c r="B213" s="59" t="s">
        <v>33</v>
      </c>
      <c r="C213" s="64"/>
      <c r="D213" s="64"/>
    </row>
    <row r="214" spans="1:12" s="62" customFormat="1" hidden="1" outlineLevel="1" x14ac:dyDescent="0.2">
      <c r="A214" s="58"/>
      <c r="B214" s="59" t="s">
        <v>35</v>
      </c>
      <c r="C214" s="64" t="s">
        <v>32</v>
      </c>
      <c r="D214" s="64"/>
      <c r="J214" s="62">
        <v>0</v>
      </c>
    </row>
    <row r="215" spans="1:12" s="62" customFormat="1" ht="15.75" hidden="1" outlineLevel="1" x14ac:dyDescent="0.25">
      <c r="A215" s="53" t="s">
        <v>107</v>
      </c>
      <c r="B215" s="76"/>
      <c r="C215" s="55" t="s">
        <v>32</v>
      </c>
      <c r="D215" s="56">
        <f>ROUND(D216*D217,2)</f>
        <v>0</v>
      </c>
      <c r="I215" s="62">
        <v>0</v>
      </c>
      <c r="L215" s="62">
        <v>0</v>
      </c>
    </row>
    <row r="216" spans="1:12" s="62" customFormat="1" hidden="1" outlineLevel="1" x14ac:dyDescent="0.2">
      <c r="A216" s="58"/>
      <c r="B216" s="59" t="s">
        <v>33</v>
      </c>
      <c r="C216" s="64"/>
      <c r="D216" s="64"/>
    </row>
    <row r="217" spans="1:12" s="62" customFormat="1" hidden="1" outlineLevel="1" x14ac:dyDescent="0.2">
      <c r="A217" s="58"/>
      <c r="B217" s="59" t="s">
        <v>35</v>
      </c>
      <c r="C217" s="64" t="s">
        <v>32</v>
      </c>
      <c r="D217" s="64"/>
      <c r="J217" s="62">
        <v>0</v>
      </c>
    </row>
    <row r="218" spans="1:12" s="62" customFormat="1" ht="15.75" hidden="1" outlineLevel="1" x14ac:dyDescent="0.25">
      <c r="A218" s="53" t="s">
        <v>108</v>
      </c>
      <c r="B218" s="77"/>
      <c r="C218" s="55" t="s">
        <v>32</v>
      </c>
      <c r="D218" s="56">
        <f>ROUND(D219*D220,2)</f>
        <v>0</v>
      </c>
      <c r="I218" s="62">
        <v>0</v>
      </c>
      <c r="L218" s="62">
        <v>0</v>
      </c>
    </row>
    <row r="219" spans="1:12" s="62" customFormat="1" hidden="1" outlineLevel="1" x14ac:dyDescent="0.2">
      <c r="A219" s="58"/>
      <c r="B219" s="59" t="s">
        <v>33</v>
      </c>
      <c r="C219" s="64"/>
      <c r="D219" s="64"/>
    </row>
    <row r="220" spans="1:12" s="62" customFormat="1" hidden="1" outlineLevel="1" x14ac:dyDescent="0.2">
      <c r="A220" s="58"/>
      <c r="B220" s="59" t="s">
        <v>35</v>
      </c>
      <c r="C220" s="64" t="s">
        <v>32</v>
      </c>
      <c r="D220" s="64"/>
      <c r="J220" s="62">
        <v>0</v>
      </c>
    </row>
    <row r="221" spans="1:12" s="62" customFormat="1" ht="15.75" hidden="1" outlineLevel="1" x14ac:dyDescent="0.25">
      <c r="A221" s="53" t="s">
        <v>109</v>
      </c>
      <c r="B221" s="77"/>
      <c r="C221" s="55" t="s">
        <v>32</v>
      </c>
      <c r="D221" s="56">
        <f>ROUND(D222*D223,2)</f>
        <v>0</v>
      </c>
      <c r="I221" s="62">
        <v>0</v>
      </c>
      <c r="L221" s="62">
        <v>0</v>
      </c>
    </row>
    <row r="222" spans="1:12" s="62" customFormat="1" hidden="1" outlineLevel="1" x14ac:dyDescent="0.2">
      <c r="A222" s="58"/>
      <c r="B222" s="59" t="s">
        <v>33</v>
      </c>
      <c r="C222" s="64"/>
      <c r="D222" s="64"/>
    </row>
    <row r="223" spans="1:12" s="62" customFormat="1" hidden="1" outlineLevel="1" x14ac:dyDescent="0.2">
      <c r="A223" s="58"/>
      <c r="B223" s="59" t="s">
        <v>35</v>
      </c>
      <c r="C223" s="64" t="s">
        <v>32</v>
      </c>
      <c r="D223" s="64"/>
      <c r="J223" s="62">
        <v>0</v>
      </c>
    </row>
    <row r="224" spans="1:12" s="62" customFormat="1" ht="15.75" hidden="1" outlineLevel="1" x14ac:dyDescent="0.25">
      <c r="A224" s="53" t="s">
        <v>110</v>
      </c>
      <c r="B224" s="77"/>
      <c r="C224" s="55" t="s">
        <v>32</v>
      </c>
      <c r="D224" s="56">
        <f>ROUND(D225*D226,2)</f>
        <v>0</v>
      </c>
      <c r="I224" s="62">
        <v>0</v>
      </c>
      <c r="L224" s="62">
        <v>0</v>
      </c>
    </row>
    <row r="225" spans="1:12" s="62" customFormat="1" hidden="1" outlineLevel="1" x14ac:dyDescent="0.2">
      <c r="A225" s="58"/>
      <c r="B225" s="59" t="s">
        <v>33</v>
      </c>
      <c r="C225" s="64"/>
      <c r="D225" s="64"/>
    </row>
    <row r="226" spans="1:12" s="62" customFormat="1" hidden="1" outlineLevel="1" x14ac:dyDescent="0.2">
      <c r="A226" s="58"/>
      <c r="B226" s="59" t="s">
        <v>35</v>
      </c>
      <c r="C226" s="64" t="s">
        <v>32</v>
      </c>
      <c r="D226" s="64"/>
      <c r="J226" s="62">
        <v>0</v>
      </c>
    </row>
    <row r="227" spans="1:12" s="62" customFormat="1" ht="15.75" hidden="1" outlineLevel="1" x14ac:dyDescent="0.25">
      <c r="A227" s="53" t="s">
        <v>111</v>
      </c>
      <c r="B227" s="77"/>
      <c r="C227" s="55" t="s">
        <v>32</v>
      </c>
      <c r="D227" s="56">
        <f>ROUND(D228*D229,2)</f>
        <v>0</v>
      </c>
      <c r="I227" s="62">
        <v>0</v>
      </c>
      <c r="L227" s="62">
        <v>0</v>
      </c>
    </row>
    <row r="228" spans="1:12" s="62" customFormat="1" hidden="1" outlineLevel="1" x14ac:dyDescent="0.2">
      <c r="A228" s="58"/>
      <c r="B228" s="59" t="s">
        <v>33</v>
      </c>
      <c r="C228" s="64"/>
      <c r="D228" s="64"/>
    </row>
    <row r="229" spans="1:12" s="62" customFormat="1" hidden="1" outlineLevel="1" x14ac:dyDescent="0.2">
      <c r="A229" s="58"/>
      <c r="B229" s="59" t="s">
        <v>35</v>
      </c>
      <c r="C229" s="64" t="s">
        <v>32</v>
      </c>
      <c r="D229" s="64"/>
      <c r="J229" s="62">
        <v>0</v>
      </c>
    </row>
    <row r="230" spans="1:12" s="62" customFormat="1" ht="15.75" hidden="1" outlineLevel="1" x14ac:dyDescent="0.25">
      <c r="A230" s="53" t="s">
        <v>112</v>
      </c>
      <c r="B230" s="76"/>
      <c r="C230" s="55" t="s">
        <v>32</v>
      </c>
      <c r="D230" s="56">
        <f>ROUND(D231*D232,2)</f>
        <v>0</v>
      </c>
      <c r="I230" s="62">
        <v>0</v>
      </c>
      <c r="L230" s="62">
        <v>0</v>
      </c>
    </row>
    <row r="231" spans="1:12" s="62" customFormat="1" hidden="1" outlineLevel="1" x14ac:dyDescent="0.2">
      <c r="A231" s="58"/>
      <c r="B231" s="59" t="s">
        <v>33</v>
      </c>
      <c r="C231" s="64"/>
      <c r="D231" s="64"/>
    </row>
    <row r="232" spans="1:12" s="62" customFormat="1" hidden="1" outlineLevel="1" x14ac:dyDescent="0.2">
      <c r="A232" s="58"/>
      <c r="B232" s="59" t="s">
        <v>35</v>
      </c>
      <c r="C232" s="64" t="s">
        <v>32</v>
      </c>
      <c r="D232" s="64"/>
      <c r="J232" s="62">
        <v>0</v>
      </c>
    </row>
    <row r="233" spans="1:12" s="62" customFormat="1" ht="15.75" hidden="1" outlineLevel="1" x14ac:dyDescent="0.25">
      <c r="A233" s="53" t="s">
        <v>113</v>
      </c>
      <c r="B233" s="70"/>
      <c r="C233" s="55" t="s">
        <v>32</v>
      </c>
      <c r="D233" s="56">
        <f>ROUND(D234*D235,2)</f>
        <v>0</v>
      </c>
      <c r="I233" s="62">
        <v>0</v>
      </c>
      <c r="L233" s="62">
        <v>0</v>
      </c>
    </row>
    <row r="234" spans="1:12" s="62" customFormat="1" hidden="1" outlineLevel="1" x14ac:dyDescent="0.2">
      <c r="A234" s="58"/>
      <c r="B234" s="59" t="s">
        <v>33</v>
      </c>
      <c r="C234" s="64"/>
      <c r="D234" s="64"/>
    </row>
    <row r="235" spans="1:12" s="62" customFormat="1" hidden="1" outlineLevel="1" x14ac:dyDescent="0.2">
      <c r="A235" s="58"/>
      <c r="B235" s="59" t="s">
        <v>35</v>
      </c>
      <c r="C235" s="64" t="s">
        <v>32</v>
      </c>
      <c r="D235" s="64"/>
      <c r="J235" s="62">
        <v>0</v>
      </c>
    </row>
    <row r="236" spans="1:12" s="62" customFormat="1" ht="15.75" hidden="1" outlineLevel="1" x14ac:dyDescent="0.25">
      <c r="A236" s="53" t="s">
        <v>114</v>
      </c>
      <c r="B236" s="73"/>
      <c r="C236" s="55" t="s">
        <v>32</v>
      </c>
      <c r="D236" s="56">
        <f>ROUND(D237*D238,2)</f>
        <v>0</v>
      </c>
      <c r="I236" s="62">
        <v>0</v>
      </c>
      <c r="L236" s="62">
        <v>0</v>
      </c>
    </row>
    <row r="237" spans="1:12" s="62" customFormat="1" hidden="1" outlineLevel="1" x14ac:dyDescent="0.2">
      <c r="A237" s="58"/>
      <c r="B237" s="59" t="s">
        <v>33</v>
      </c>
      <c r="C237" s="64"/>
      <c r="D237" s="64"/>
    </row>
    <row r="238" spans="1:12" s="62" customFormat="1" hidden="1" outlineLevel="1" x14ac:dyDescent="0.2">
      <c r="A238" s="58"/>
      <c r="B238" s="59" t="s">
        <v>35</v>
      </c>
      <c r="C238" s="64" t="s">
        <v>32</v>
      </c>
      <c r="D238" s="64"/>
      <c r="J238" s="62">
        <v>0</v>
      </c>
    </row>
    <row r="239" spans="1:12" s="62" customFormat="1" ht="15.75" hidden="1" outlineLevel="1" x14ac:dyDescent="0.25">
      <c r="A239" s="53" t="s">
        <v>115</v>
      </c>
      <c r="B239" s="73"/>
      <c r="C239" s="55" t="s">
        <v>32</v>
      </c>
      <c r="D239" s="56">
        <f>ROUND(D240*D241,2)</f>
        <v>0</v>
      </c>
      <c r="I239" s="62">
        <v>0</v>
      </c>
      <c r="L239" s="62">
        <v>0</v>
      </c>
    </row>
    <row r="240" spans="1:12" s="62" customFormat="1" hidden="1" outlineLevel="1" x14ac:dyDescent="0.2">
      <c r="A240" s="58"/>
      <c r="B240" s="59" t="s">
        <v>33</v>
      </c>
      <c r="C240" s="64"/>
      <c r="D240" s="64"/>
    </row>
    <row r="241" spans="1:12" s="62" customFormat="1" hidden="1" outlineLevel="1" x14ac:dyDescent="0.2">
      <c r="A241" s="58"/>
      <c r="B241" s="59" t="s">
        <v>35</v>
      </c>
      <c r="C241" s="64" t="s">
        <v>32</v>
      </c>
      <c r="D241" s="64"/>
      <c r="J241" s="62">
        <v>0</v>
      </c>
    </row>
    <row r="242" spans="1:12" s="62" customFormat="1" ht="15.75" hidden="1" outlineLevel="1" x14ac:dyDescent="0.25">
      <c r="A242" s="53" t="s">
        <v>116</v>
      </c>
      <c r="B242" s="73"/>
      <c r="C242" s="55" t="s">
        <v>32</v>
      </c>
      <c r="D242" s="56">
        <f>ROUND(D243*D244,2)</f>
        <v>0</v>
      </c>
      <c r="I242" s="62">
        <v>0</v>
      </c>
      <c r="L242" s="62">
        <v>0</v>
      </c>
    </row>
    <row r="243" spans="1:12" s="62" customFormat="1" hidden="1" outlineLevel="1" x14ac:dyDescent="0.2">
      <c r="A243" s="58"/>
      <c r="B243" s="59" t="s">
        <v>33</v>
      </c>
      <c r="C243" s="64"/>
      <c r="D243" s="64"/>
    </row>
    <row r="244" spans="1:12" s="62" customFormat="1" hidden="1" outlineLevel="1" x14ac:dyDescent="0.2">
      <c r="A244" s="58"/>
      <c r="B244" s="59" t="s">
        <v>35</v>
      </c>
      <c r="C244" s="64" t="s">
        <v>32</v>
      </c>
      <c r="D244" s="64"/>
      <c r="J244" s="62">
        <v>0</v>
      </c>
    </row>
    <row r="245" spans="1:12" s="62" customFormat="1" ht="15.75" hidden="1" outlineLevel="1" x14ac:dyDescent="0.25">
      <c r="A245" s="53" t="s">
        <v>117</v>
      </c>
      <c r="B245" s="73"/>
      <c r="C245" s="55" t="s">
        <v>32</v>
      </c>
      <c r="D245" s="56">
        <f>ROUND(D246*D247,2)</f>
        <v>0</v>
      </c>
      <c r="I245" s="62">
        <v>0</v>
      </c>
      <c r="L245" s="62">
        <v>0</v>
      </c>
    </row>
    <row r="246" spans="1:12" s="62" customFormat="1" hidden="1" outlineLevel="1" x14ac:dyDescent="0.2">
      <c r="A246" s="58"/>
      <c r="B246" s="59" t="s">
        <v>33</v>
      </c>
      <c r="C246" s="64"/>
      <c r="D246" s="64"/>
    </row>
    <row r="247" spans="1:12" s="62" customFormat="1" hidden="1" outlineLevel="1" x14ac:dyDescent="0.2">
      <c r="A247" s="58"/>
      <c r="B247" s="59" t="s">
        <v>35</v>
      </c>
      <c r="C247" s="64" t="s">
        <v>32</v>
      </c>
      <c r="D247" s="64"/>
      <c r="J247" s="62">
        <v>0</v>
      </c>
    </row>
    <row r="248" spans="1:12" s="62" customFormat="1" ht="15.75" hidden="1" outlineLevel="1" x14ac:dyDescent="0.25">
      <c r="A248" s="53" t="s">
        <v>118</v>
      </c>
      <c r="B248" s="73"/>
      <c r="C248" s="55" t="s">
        <v>32</v>
      </c>
      <c r="D248" s="56">
        <f>ROUND(D249*D250,2)</f>
        <v>0</v>
      </c>
      <c r="I248" s="62">
        <v>0</v>
      </c>
      <c r="L248" s="62">
        <v>0</v>
      </c>
    </row>
    <row r="249" spans="1:12" s="62" customFormat="1" hidden="1" outlineLevel="1" x14ac:dyDescent="0.2">
      <c r="A249" s="58"/>
      <c r="B249" s="59" t="s">
        <v>33</v>
      </c>
      <c r="C249" s="64"/>
      <c r="D249" s="64"/>
    </row>
    <row r="250" spans="1:12" s="62" customFormat="1" hidden="1" outlineLevel="1" x14ac:dyDescent="0.2">
      <c r="A250" s="58"/>
      <c r="B250" s="59" t="s">
        <v>35</v>
      </c>
      <c r="C250" s="64" t="s">
        <v>32</v>
      </c>
      <c r="D250" s="64"/>
      <c r="J250" s="62">
        <v>0</v>
      </c>
    </row>
    <row r="251" spans="1:12" s="62" customFormat="1" ht="15.75" hidden="1" outlineLevel="1" x14ac:dyDescent="0.25">
      <c r="A251" s="53" t="s">
        <v>119</v>
      </c>
      <c r="B251" s="73"/>
      <c r="C251" s="55" t="s">
        <v>32</v>
      </c>
      <c r="D251" s="56">
        <f>ROUND(D252*D253,2)</f>
        <v>0</v>
      </c>
      <c r="I251" s="62">
        <v>0</v>
      </c>
      <c r="L251" s="62">
        <v>0</v>
      </c>
    </row>
    <row r="252" spans="1:12" s="62" customFormat="1" hidden="1" outlineLevel="1" x14ac:dyDescent="0.2">
      <c r="A252" s="58"/>
      <c r="B252" s="59" t="s">
        <v>33</v>
      </c>
      <c r="C252" s="64"/>
      <c r="D252" s="64"/>
    </row>
    <row r="253" spans="1:12" s="62" customFormat="1" hidden="1" outlineLevel="1" x14ac:dyDescent="0.2">
      <c r="A253" s="58"/>
      <c r="B253" s="59" t="s">
        <v>35</v>
      </c>
      <c r="C253" s="64" t="s">
        <v>32</v>
      </c>
      <c r="D253" s="64"/>
      <c r="J253" s="62">
        <v>0</v>
      </c>
    </row>
    <row r="254" spans="1:12" s="62" customFormat="1" ht="15.75" hidden="1" outlineLevel="1" x14ac:dyDescent="0.25">
      <c r="A254" s="53" t="s">
        <v>120</v>
      </c>
      <c r="B254" s="73"/>
      <c r="C254" s="55" t="s">
        <v>32</v>
      </c>
      <c r="D254" s="56">
        <f>ROUND(D255*D256,2)</f>
        <v>0</v>
      </c>
      <c r="I254" s="62">
        <v>0</v>
      </c>
      <c r="L254" s="62">
        <v>0</v>
      </c>
    </row>
    <row r="255" spans="1:12" s="62" customFormat="1" hidden="1" outlineLevel="1" x14ac:dyDescent="0.2">
      <c r="A255" s="58"/>
      <c r="B255" s="59" t="s">
        <v>33</v>
      </c>
      <c r="C255" s="64"/>
      <c r="D255" s="64"/>
    </row>
    <row r="256" spans="1:12" s="62" customFormat="1" hidden="1" outlineLevel="1" x14ac:dyDescent="0.2">
      <c r="A256" s="58"/>
      <c r="B256" s="59" t="s">
        <v>35</v>
      </c>
      <c r="C256" s="64" t="s">
        <v>32</v>
      </c>
      <c r="D256" s="64"/>
      <c r="J256" s="62">
        <v>0</v>
      </c>
    </row>
    <row r="257" spans="1:12" s="62" customFormat="1" ht="15.75" hidden="1" outlineLevel="1" x14ac:dyDescent="0.25">
      <c r="A257" s="53" t="s">
        <v>121</v>
      </c>
      <c r="B257" s="73"/>
      <c r="C257" s="55" t="s">
        <v>32</v>
      </c>
      <c r="D257" s="56">
        <f>ROUND(D258*D259,2)</f>
        <v>0</v>
      </c>
      <c r="I257" s="62">
        <v>0</v>
      </c>
      <c r="L257" s="62">
        <v>0</v>
      </c>
    </row>
    <row r="258" spans="1:12" s="62" customFormat="1" hidden="1" outlineLevel="1" x14ac:dyDescent="0.2">
      <c r="A258" s="58"/>
      <c r="B258" s="59" t="s">
        <v>33</v>
      </c>
      <c r="C258" s="64"/>
      <c r="D258" s="64"/>
    </row>
    <row r="259" spans="1:12" s="62" customFormat="1" hidden="1" outlineLevel="1" x14ac:dyDescent="0.2">
      <c r="A259" s="58"/>
      <c r="B259" s="59" t="s">
        <v>35</v>
      </c>
      <c r="C259" s="64" t="s">
        <v>32</v>
      </c>
      <c r="D259" s="64"/>
      <c r="J259" s="62">
        <v>0</v>
      </c>
    </row>
    <row r="260" spans="1:12" s="62" customFormat="1" ht="15.75" hidden="1" outlineLevel="1" x14ac:dyDescent="0.25">
      <c r="A260" s="53" t="s">
        <v>122</v>
      </c>
      <c r="B260" s="73"/>
      <c r="C260" s="55" t="s">
        <v>32</v>
      </c>
      <c r="D260" s="56">
        <f>ROUND(D261*D262,2)</f>
        <v>0</v>
      </c>
      <c r="I260" s="62">
        <v>0</v>
      </c>
      <c r="L260" s="62">
        <v>0</v>
      </c>
    </row>
    <row r="261" spans="1:12" s="62" customFormat="1" hidden="1" outlineLevel="1" x14ac:dyDescent="0.2">
      <c r="A261" s="58"/>
      <c r="B261" s="59" t="s">
        <v>33</v>
      </c>
      <c r="C261" s="64"/>
      <c r="D261" s="64"/>
    </row>
    <row r="262" spans="1:12" s="62" customFormat="1" hidden="1" outlineLevel="1" x14ac:dyDescent="0.2">
      <c r="A262" s="58"/>
      <c r="B262" s="59" t="s">
        <v>35</v>
      </c>
      <c r="C262" s="64" t="s">
        <v>32</v>
      </c>
      <c r="D262" s="64"/>
      <c r="J262" s="62">
        <v>0</v>
      </c>
    </row>
    <row r="263" spans="1:12" s="62" customFormat="1" ht="15.75" hidden="1" outlineLevel="1" x14ac:dyDescent="0.25">
      <c r="A263" s="53" t="s">
        <v>123</v>
      </c>
      <c r="B263" s="73"/>
      <c r="C263" s="55" t="s">
        <v>32</v>
      </c>
      <c r="D263" s="56">
        <f>ROUND(D264*D265,2)</f>
        <v>0</v>
      </c>
      <c r="I263" s="62">
        <v>0</v>
      </c>
      <c r="L263" s="62">
        <v>0</v>
      </c>
    </row>
    <row r="264" spans="1:12" s="62" customFormat="1" hidden="1" outlineLevel="1" x14ac:dyDescent="0.2">
      <c r="A264" s="58"/>
      <c r="B264" s="59" t="s">
        <v>33</v>
      </c>
      <c r="C264" s="64"/>
      <c r="D264" s="64"/>
    </row>
    <row r="265" spans="1:12" s="62" customFormat="1" hidden="1" outlineLevel="1" x14ac:dyDescent="0.2">
      <c r="A265" s="58"/>
      <c r="B265" s="59" t="s">
        <v>35</v>
      </c>
      <c r="C265" s="64" t="s">
        <v>32</v>
      </c>
      <c r="D265" s="64"/>
      <c r="J265" s="62">
        <v>0</v>
      </c>
    </row>
    <row r="266" spans="1:12" s="62" customFormat="1" ht="15.75" hidden="1" outlineLevel="1" x14ac:dyDescent="0.25">
      <c r="A266" s="53" t="s">
        <v>124</v>
      </c>
      <c r="B266" s="78"/>
      <c r="C266" s="55" t="s">
        <v>32</v>
      </c>
      <c r="D266" s="56">
        <f>ROUND(D267*D268,2)</f>
        <v>0</v>
      </c>
      <c r="I266" s="62">
        <v>0</v>
      </c>
      <c r="L266" s="62">
        <v>0</v>
      </c>
    </row>
    <row r="267" spans="1:12" s="62" customFormat="1" hidden="1" outlineLevel="1" x14ac:dyDescent="0.2">
      <c r="A267" s="58"/>
      <c r="B267" s="59" t="s">
        <v>33</v>
      </c>
      <c r="C267" s="64"/>
      <c r="D267" s="64"/>
    </row>
    <row r="268" spans="1:12" s="62" customFormat="1" hidden="1" outlineLevel="1" x14ac:dyDescent="0.2">
      <c r="A268" s="58"/>
      <c r="B268" s="59" t="s">
        <v>35</v>
      </c>
      <c r="C268" s="64" t="s">
        <v>32</v>
      </c>
      <c r="D268" s="64"/>
      <c r="J268" s="62">
        <v>0</v>
      </c>
    </row>
    <row r="269" spans="1:12" s="62" customFormat="1" ht="15.75" hidden="1" outlineLevel="1" x14ac:dyDescent="0.25">
      <c r="A269" s="53" t="s">
        <v>125</v>
      </c>
      <c r="B269" s="78"/>
      <c r="C269" s="55" t="s">
        <v>32</v>
      </c>
      <c r="D269" s="56">
        <f>ROUND(D270*D271,2)</f>
        <v>0</v>
      </c>
      <c r="I269" s="62">
        <v>0</v>
      </c>
      <c r="L269" s="62">
        <v>0</v>
      </c>
    </row>
    <row r="270" spans="1:12" s="62" customFormat="1" hidden="1" outlineLevel="1" x14ac:dyDescent="0.2">
      <c r="A270" s="58"/>
      <c r="B270" s="59" t="s">
        <v>33</v>
      </c>
      <c r="C270" s="64"/>
      <c r="D270" s="64"/>
    </row>
    <row r="271" spans="1:12" s="62" customFormat="1" hidden="1" outlineLevel="1" x14ac:dyDescent="0.2">
      <c r="A271" s="58"/>
      <c r="B271" s="59" t="s">
        <v>35</v>
      </c>
      <c r="C271" s="64" t="s">
        <v>32</v>
      </c>
      <c r="D271" s="64"/>
      <c r="J271" s="62">
        <v>0</v>
      </c>
    </row>
    <row r="272" spans="1:12" s="62" customFormat="1" ht="15.75" hidden="1" outlineLevel="1" x14ac:dyDescent="0.25">
      <c r="A272" s="53" t="s">
        <v>126</v>
      </c>
      <c r="B272" s="78"/>
      <c r="C272" s="55" t="s">
        <v>32</v>
      </c>
      <c r="D272" s="56">
        <f>ROUND(D273*D274,2)</f>
        <v>0</v>
      </c>
      <c r="I272" s="62">
        <v>0</v>
      </c>
      <c r="L272" s="62">
        <v>0</v>
      </c>
    </row>
    <row r="273" spans="1:12" s="62" customFormat="1" hidden="1" outlineLevel="1" x14ac:dyDescent="0.2">
      <c r="A273" s="58"/>
      <c r="B273" s="59" t="s">
        <v>33</v>
      </c>
      <c r="C273" s="64"/>
      <c r="D273" s="64"/>
    </row>
    <row r="274" spans="1:12" s="62" customFormat="1" hidden="1" outlineLevel="1" x14ac:dyDescent="0.2">
      <c r="A274" s="58"/>
      <c r="B274" s="59" t="s">
        <v>35</v>
      </c>
      <c r="C274" s="64" t="s">
        <v>32</v>
      </c>
      <c r="D274" s="64"/>
      <c r="J274" s="62">
        <v>0</v>
      </c>
    </row>
    <row r="275" spans="1:12" s="62" customFormat="1" ht="15.75" hidden="1" outlineLevel="1" x14ac:dyDescent="0.25">
      <c r="A275" s="53" t="s">
        <v>127</v>
      </c>
      <c r="B275" s="78"/>
      <c r="C275" s="55" t="s">
        <v>32</v>
      </c>
      <c r="D275" s="56">
        <f>ROUND(D276*D277,2)</f>
        <v>0</v>
      </c>
      <c r="I275" s="62">
        <v>0</v>
      </c>
      <c r="L275" s="62">
        <v>0</v>
      </c>
    </row>
    <row r="276" spans="1:12" s="62" customFormat="1" hidden="1" outlineLevel="1" x14ac:dyDescent="0.2">
      <c r="A276" s="58"/>
      <c r="B276" s="59" t="s">
        <v>33</v>
      </c>
      <c r="C276" s="64"/>
      <c r="D276" s="64"/>
    </row>
    <row r="277" spans="1:12" s="62" customFormat="1" hidden="1" outlineLevel="1" x14ac:dyDescent="0.2">
      <c r="A277" s="58"/>
      <c r="B277" s="59" t="s">
        <v>35</v>
      </c>
      <c r="C277" s="64" t="s">
        <v>32</v>
      </c>
      <c r="D277" s="64"/>
      <c r="J277" s="62">
        <v>0</v>
      </c>
    </row>
    <row r="278" spans="1:12" s="62" customFormat="1" ht="15.75" hidden="1" outlineLevel="1" x14ac:dyDescent="0.25">
      <c r="A278" s="53" t="s">
        <v>128</v>
      </c>
      <c r="B278" s="79"/>
      <c r="C278" s="55" t="s">
        <v>32</v>
      </c>
      <c r="D278" s="56">
        <f>ROUND(D279*D280,2)</f>
        <v>0</v>
      </c>
      <c r="I278" s="62">
        <v>0</v>
      </c>
      <c r="L278" s="62">
        <v>0</v>
      </c>
    </row>
    <row r="279" spans="1:12" s="62" customFormat="1" hidden="1" outlineLevel="1" x14ac:dyDescent="0.2">
      <c r="A279" s="58"/>
      <c r="B279" s="59" t="s">
        <v>33</v>
      </c>
      <c r="C279" s="64"/>
      <c r="D279" s="64"/>
    </row>
    <row r="280" spans="1:12" s="62" customFormat="1" hidden="1" outlineLevel="1" x14ac:dyDescent="0.2">
      <c r="A280" s="58"/>
      <c r="B280" s="59" t="s">
        <v>35</v>
      </c>
      <c r="C280" s="64" t="s">
        <v>32</v>
      </c>
      <c r="D280" s="64"/>
      <c r="J280" s="62">
        <v>0</v>
      </c>
    </row>
    <row r="281" spans="1:12" s="62" customFormat="1" ht="15.75" hidden="1" outlineLevel="1" x14ac:dyDescent="0.25">
      <c r="A281" s="53" t="s">
        <v>129</v>
      </c>
      <c r="B281" s="70"/>
      <c r="C281" s="55" t="s">
        <v>32</v>
      </c>
      <c r="D281" s="56">
        <f>ROUND(D282*D283,2)</f>
        <v>0</v>
      </c>
      <c r="I281" s="62">
        <v>0</v>
      </c>
      <c r="L281" s="62">
        <v>0</v>
      </c>
    </row>
    <row r="282" spans="1:12" s="62" customFormat="1" hidden="1" outlineLevel="1" x14ac:dyDescent="0.2">
      <c r="A282" s="58"/>
      <c r="B282" s="59" t="s">
        <v>33</v>
      </c>
      <c r="C282" s="64"/>
      <c r="D282" s="64"/>
    </row>
    <row r="283" spans="1:12" s="62" customFormat="1" hidden="1" outlineLevel="1" x14ac:dyDescent="0.2">
      <c r="A283" s="58"/>
      <c r="B283" s="59" t="s">
        <v>35</v>
      </c>
      <c r="C283" s="64" t="s">
        <v>32</v>
      </c>
      <c r="D283" s="64"/>
      <c r="J283" s="62">
        <v>0</v>
      </c>
    </row>
    <row r="284" spans="1:12" s="62" customFormat="1" ht="15.75" hidden="1" outlineLevel="1" x14ac:dyDescent="0.25">
      <c r="A284" s="53" t="s">
        <v>130</v>
      </c>
      <c r="B284" s="70"/>
      <c r="C284" s="55" t="s">
        <v>32</v>
      </c>
      <c r="D284" s="56">
        <f>ROUND(D285*D286,2)</f>
        <v>0</v>
      </c>
      <c r="I284" s="62">
        <v>0</v>
      </c>
      <c r="L284" s="62">
        <v>0</v>
      </c>
    </row>
    <row r="285" spans="1:12" s="62" customFormat="1" hidden="1" outlineLevel="1" x14ac:dyDescent="0.2">
      <c r="A285" s="58"/>
      <c r="B285" s="59" t="s">
        <v>33</v>
      </c>
      <c r="C285" s="64"/>
      <c r="D285" s="64"/>
    </row>
    <row r="286" spans="1:12" s="62" customFormat="1" hidden="1" outlineLevel="1" x14ac:dyDescent="0.2">
      <c r="A286" s="58"/>
      <c r="B286" s="59" t="s">
        <v>35</v>
      </c>
      <c r="C286" s="64" t="s">
        <v>32</v>
      </c>
      <c r="D286" s="64"/>
      <c r="J286" s="62">
        <v>0</v>
      </c>
    </row>
    <row r="287" spans="1:12" s="62" customFormat="1" ht="15.75" hidden="1" outlineLevel="1" x14ac:dyDescent="0.25">
      <c r="A287" s="53" t="s">
        <v>131</v>
      </c>
      <c r="B287" s="70"/>
      <c r="C287" s="55" t="s">
        <v>32</v>
      </c>
      <c r="D287" s="56">
        <f>ROUND(D288*D289,2)</f>
        <v>0</v>
      </c>
      <c r="I287" s="62">
        <v>0</v>
      </c>
      <c r="L287" s="62">
        <v>0</v>
      </c>
    </row>
    <row r="288" spans="1:12" s="62" customFormat="1" hidden="1" outlineLevel="1" x14ac:dyDescent="0.2">
      <c r="A288" s="58"/>
      <c r="B288" s="59" t="s">
        <v>33</v>
      </c>
      <c r="C288" s="64"/>
      <c r="D288" s="64"/>
    </row>
    <row r="289" spans="1:12" s="62" customFormat="1" hidden="1" outlineLevel="1" x14ac:dyDescent="0.2">
      <c r="A289" s="58"/>
      <c r="B289" s="59" t="s">
        <v>35</v>
      </c>
      <c r="C289" s="64" t="s">
        <v>32</v>
      </c>
      <c r="D289" s="64"/>
      <c r="J289" s="62">
        <v>0</v>
      </c>
    </row>
    <row r="290" spans="1:12" s="62" customFormat="1" ht="15.75" hidden="1" outlineLevel="1" x14ac:dyDescent="0.25">
      <c r="A290" s="53" t="s">
        <v>132</v>
      </c>
      <c r="B290" s="71"/>
      <c r="C290" s="55" t="s">
        <v>32</v>
      </c>
      <c r="D290" s="56">
        <f>ROUND(D291*D292,2)</f>
        <v>0</v>
      </c>
      <c r="I290" s="62">
        <v>0</v>
      </c>
      <c r="L290" s="62">
        <v>0</v>
      </c>
    </row>
    <row r="291" spans="1:12" s="62" customFormat="1" hidden="1" outlineLevel="1" x14ac:dyDescent="0.2">
      <c r="A291" s="58"/>
      <c r="B291" s="59" t="s">
        <v>33</v>
      </c>
      <c r="C291" s="64"/>
      <c r="D291" s="64"/>
    </row>
    <row r="292" spans="1:12" s="62" customFormat="1" hidden="1" outlineLevel="1" x14ac:dyDescent="0.2">
      <c r="A292" s="58"/>
      <c r="B292" s="59" t="s">
        <v>35</v>
      </c>
      <c r="C292" s="64" t="s">
        <v>32</v>
      </c>
      <c r="D292" s="64"/>
      <c r="J292" s="62">
        <v>0</v>
      </c>
    </row>
    <row r="293" spans="1:12" s="62" customFormat="1" ht="15.75" hidden="1" outlineLevel="1" x14ac:dyDescent="0.25">
      <c r="A293" s="53" t="s">
        <v>133</v>
      </c>
      <c r="B293" s="71"/>
      <c r="C293" s="55" t="s">
        <v>32</v>
      </c>
      <c r="D293" s="56">
        <f>ROUND(D294*D295,2)</f>
        <v>0</v>
      </c>
      <c r="I293" s="62">
        <v>0</v>
      </c>
      <c r="L293" s="62">
        <v>0</v>
      </c>
    </row>
    <row r="294" spans="1:12" s="62" customFormat="1" hidden="1" outlineLevel="1" x14ac:dyDescent="0.2">
      <c r="A294" s="58"/>
      <c r="B294" s="59" t="s">
        <v>33</v>
      </c>
      <c r="C294" s="64"/>
      <c r="D294" s="64"/>
    </row>
    <row r="295" spans="1:12" s="62" customFormat="1" hidden="1" outlineLevel="1" x14ac:dyDescent="0.2">
      <c r="A295" s="58"/>
      <c r="B295" s="59" t="s">
        <v>35</v>
      </c>
      <c r="C295" s="64" t="s">
        <v>32</v>
      </c>
      <c r="D295" s="64"/>
      <c r="J295" s="62">
        <v>0</v>
      </c>
    </row>
    <row r="296" spans="1:12" s="62" customFormat="1" ht="15.75" hidden="1" outlineLevel="1" x14ac:dyDescent="0.25">
      <c r="A296" s="53" t="s">
        <v>134</v>
      </c>
      <c r="B296" s="71"/>
      <c r="C296" s="55" t="s">
        <v>32</v>
      </c>
      <c r="D296" s="56">
        <f>ROUND(D297*D298,2)</f>
        <v>0</v>
      </c>
      <c r="I296" s="62">
        <v>0</v>
      </c>
      <c r="L296" s="62">
        <v>0</v>
      </c>
    </row>
    <row r="297" spans="1:12" s="62" customFormat="1" hidden="1" outlineLevel="1" x14ac:dyDescent="0.2">
      <c r="A297" s="58"/>
      <c r="B297" s="59" t="s">
        <v>33</v>
      </c>
      <c r="C297" s="64"/>
      <c r="D297" s="64"/>
    </row>
    <row r="298" spans="1:12" s="62" customFormat="1" hidden="1" outlineLevel="1" x14ac:dyDescent="0.2">
      <c r="A298" s="58"/>
      <c r="B298" s="59" t="s">
        <v>35</v>
      </c>
      <c r="C298" s="64" t="s">
        <v>32</v>
      </c>
      <c r="D298" s="64"/>
      <c r="J298" s="62">
        <v>0</v>
      </c>
    </row>
    <row r="299" spans="1:12" s="62" customFormat="1" ht="15.75" hidden="1" outlineLevel="1" x14ac:dyDescent="0.25">
      <c r="A299" s="53" t="s">
        <v>135</v>
      </c>
      <c r="B299" s="70"/>
      <c r="C299" s="55" t="s">
        <v>32</v>
      </c>
      <c r="D299" s="56">
        <f>ROUND(D300*D301,2)</f>
        <v>0</v>
      </c>
      <c r="I299" s="62">
        <v>0</v>
      </c>
      <c r="L299" s="62">
        <v>0</v>
      </c>
    </row>
    <row r="300" spans="1:12" s="62" customFormat="1" hidden="1" outlineLevel="1" x14ac:dyDescent="0.2">
      <c r="A300" s="58"/>
      <c r="B300" s="59" t="s">
        <v>33</v>
      </c>
      <c r="C300" s="64"/>
      <c r="D300" s="64"/>
    </row>
    <row r="301" spans="1:12" s="62" customFormat="1" hidden="1" outlineLevel="1" x14ac:dyDescent="0.2">
      <c r="A301" s="58"/>
      <c r="B301" s="59" t="s">
        <v>35</v>
      </c>
      <c r="C301" s="64" t="s">
        <v>32</v>
      </c>
      <c r="D301" s="64"/>
      <c r="J301" s="62">
        <v>0</v>
      </c>
    </row>
    <row r="302" spans="1:12" s="62" customFormat="1" ht="15.75" hidden="1" outlineLevel="1" x14ac:dyDescent="0.25">
      <c r="A302" s="53" t="s">
        <v>136</v>
      </c>
      <c r="B302" s="71"/>
      <c r="C302" s="55" t="s">
        <v>32</v>
      </c>
      <c r="D302" s="56">
        <f>ROUND(D303*D304,2)</f>
        <v>0</v>
      </c>
      <c r="I302" s="62">
        <v>0</v>
      </c>
      <c r="L302" s="62">
        <v>0</v>
      </c>
    </row>
    <row r="303" spans="1:12" s="62" customFormat="1" hidden="1" outlineLevel="1" x14ac:dyDescent="0.2">
      <c r="A303" s="58"/>
      <c r="B303" s="59" t="s">
        <v>33</v>
      </c>
      <c r="C303" s="64"/>
      <c r="D303" s="64"/>
    </row>
    <row r="304" spans="1:12" s="62" customFormat="1" hidden="1" outlineLevel="1" x14ac:dyDescent="0.2">
      <c r="A304" s="58"/>
      <c r="B304" s="59" t="s">
        <v>35</v>
      </c>
      <c r="C304" s="64" t="s">
        <v>32</v>
      </c>
      <c r="D304" s="64"/>
      <c r="J304" s="62">
        <v>0</v>
      </c>
    </row>
    <row r="305" spans="1:12" s="62" customFormat="1" ht="15.75" hidden="1" outlineLevel="1" x14ac:dyDescent="0.25">
      <c r="A305" s="53" t="s">
        <v>137</v>
      </c>
      <c r="B305" s="80"/>
      <c r="C305" s="55" t="s">
        <v>32</v>
      </c>
      <c r="D305" s="56">
        <f>ROUND(D306*D307,2)</f>
        <v>0</v>
      </c>
      <c r="I305" s="62">
        <v>0</v>
      </c>
      <c r="L305" s="62">
        <v>0</v>
      </c>
    </row>
    <row r="306" spans="1:12" s="62" customFormat="1" hidden="1" outlineLevel="1" x14ac:dyDescent="0.2">
      <c r="A306" s="58"/>
      <c r="B306" s="59" t="s">
        <v>33</v>
      </c>
      <c r="C306" s="64"/>
      <c r="D306" s="64"/>
    </row>
    <row r="307" spans="1:12" s="62" customFormat="1" hidden="1" outlineLevel="1" x14ac:dyDescent="0.2">
      <c r="A307" s="58"/>
      <c r="B307" s="59" t="s">
        <v>35</v>
      </c>
      <c r="C307" s="64" t="s">
        <v>32</v>
      </c>
      <c r="D307" s="64"/>
      <c r="J307" s="62">
        <v>0</v>
      </c>
    </row>
    <row r="308" spans="1:12" s="62" customFormat="1" ht="15.75" hidden="1" outlineLevel="1" x14ac:dyDescent="0.25">
      <c r="A308" s="53" t="s">
        <v>138</v>
      </c>
      <c r="B308" s="68"/>
      <c r="C308" s="55" t="s">
        <v>32</v>
      </c>
      <c r="D308" s="56">
        <f>ROUND(D309*D310,2)</f>
        <v>0</v>
      </c>
      <c r="I308" s="62">
        <v>0</v>
      </c>
      <c r="L308" s="62">
        <v>0</v>
      </c>
    </row>
    <row r="309" spans="1:12" s="62" customFormat="1" hidden="1" outlineLevel="1" x14ac:dyDescent="0.2">
      <c r="A309" s="58"/>
      <c r="B309" s="59" t="s">
        <v>33</v>
      </c>
      <c r="C309" s="64"/>
      <c r="D309" s="64"/>
    </row>
    <row r="310" spans="1:12" s="62" customFormat="1" hidden="1" outlineLevel="1" x14ac:dyDescent="0.2">
      <c r="A310" s="58"/>
      <c r="B310" s="59" t="s">
        <v>35</v>
      </c>
      <c r="C310" s="64" t="s">
        <v>32</v>
      </c>
      <c r="D310" s="64"/>
      <c r="J310" s="62">
        <v>0</v>
      </c>
    </row>
    <row r="311" spans="1:12" s="62" customFormat="1" ht="15.75" hidden="1" outlineLevel="1" x14ac:dyDescent="0.25">
      <c r="A311" s="53" t="s">
        <v>139</v>
      </c>
      <c r="B311" s="81"/>
      <c r="C311" s="55" t="s">
        <v>32</v>
      </c>
      <c r="D311" s="56">
        <f>ROUND(D312*D313,2)</f>
        <v>0</v>
      </c>
      <c r="I311" s="62">
        <v>0</v>
      </c>
      <c r="L311" s="62">
        <v>0</v>
      </c>
    </row>
    <row r="312" spans="1:12" s="62" customFormat="1" hidden="1" outlineLevel="1" x14ac:dyDescent="0.2">
      <c r="A312" s="58"/>
      <c r="B312" s="59" t="s">
        <v>33</v>
      </c>
      <c r="C312" s="64"/>
      <c r="D312" s="64"/>
    </row>
    <row r="313" spans="1:12" s="62" customFormat="1" hidden="1" outlineLevel="1" x14ac:dyDescent="0.2">
      <c r="A313" s="58"/>
      <c r="B313" s="59" t="s">
        <v>35</v>
      </c>
      <c r="C313" s="64" t="s">
        <v>32</v>
      </c>
      <c r="D313" s="64"/>
      <c r="J313" s="62">
        <v>0</v>
      </c>
    </row>
    <row r="314" spans="1:12" s="62" customFormat="1" ht="15.75" hidden="1" outlineLevel="1" x14ac:dyDescent="0.25">
      <c r="A314" s="53" t="s">
        <v>140</v>
      </c>
      <c r="B314" s="81"/>
      <c r="C314" s="55" t="s">
        <v>32</v>
      </c>
      <c r="D314" s="56">
        <f>ROUND(D315*D316,2)</f>
        <v>0</v>
      </c>
      <c r="I314" s="62">
        <v>0</v>
      </c>
      <c r="L314" s="62">
        <v>0</v>
      </c>
    </row>
    <row r="315" spans="1:12" s="62" customFormat="1" hidden="1" outlineLevel="1" x14ac:dyDescent="0.2">
      <c r="A315" s="58"/>
      <c r="B315" s="59" t="s">
        <v>33</v>
      </c>
      <c r="C315" s="64"/>
      <c r="D315" s="64"/>
    </row>
    <row r="316" spans="1:12" s="62" customFormat="1" hidden="1" outlineLevel="1" x14ac:dyDescent="0.2">
      <c r="A316" s="58"/>
      <c r="B316" s="59" t="s">
        <v>35</v>
      </c>
      <c r="C316" s="64" t="s">
        <v>32</v>
      </c>
      <c r="D316" s="64"/>
      <c r="J316" s="62">
        <v>0</v>
      </c>
    </row>
    <row r="317" spans="1:12" s="62" customFormat="1" ht="15.75" hidden="1" outlineLevel="1" x14ac:dyDescent="0.25">
      <c r="A317" s="53" t="s">
        <v>141</v>
      </c>
      <c r="B317" s="81"/>
      <c r="C317" s="55" t="s">
        <v>32</v>
      </c>
      <c r="D317" s="56">
        <f>ROUND(D318*D319,2)</f>
        <v>0</v>
      </c>
      <c r="I317" s="62">
        <v>0</v>
      </c>
      <c r="L317" s="62">
        <v>0</v>
      </c>
    </row>
    <row r="318" spans="1:12" s="62" customFormat="1" hidden="1" outlineLevel="1" x14ac:dyDescent="0.2">
      <c r="A318" s="58"/>
      <c r="B318" s="59" t="s">
        <v>33</v>
      </c>
      <c r="C318" s="64"/>
      <c r="D318" s="64"/>
    </row>
    <row r="319" spans="1:12" s="62" customFormat="1" hidden="1" outlineLevel="1" x14ac:dyDescent="0.2">
      <c r="A319" s="58"/>
      <c r="B319" s="59" t="s">
        <v>35</v>
      </c>
      <c r="C319" s="64" t="s">
        <v>32</v>
      </c>
      <c r="D319" s="64"/>
      <c r="J319" s="62">
        <v>0</v>
      </c>
    </row>
    <row r="320" spans="1:12" s="62" customFormat="1" ht="15.75" hidden="1" outlineLevel="1" x14ac:dyDescent="0.25">
      <c r="A320" s="53" t="s">
        <v>142</v>
      </c>
      <c r="B320" s="79"/>
      <c r="C320" s="55" t="s">
        <v>32</v>
      </c>
      <c r="D320" s="56">
        <f>ROUND(D321*D322,2)</f>
        <v>0</v>
      </c>
      <c r="I320" s="62">
        <v>0</v>
      </c>
      <c r="L320" s="62">
        <v>0</v>
      </c>
    </row>
    <row r="321" spans="1:12" s="62" customFormat="1" hidden="1" outlineLevel="1" x14ac:dyDescent="0.2">
      <c r="A321" s="58"/>
      <c r="B321" s="59" t="s">
        <v>33</v>
      </c>
      <c r="C321" s="64"/>
      <c r="D321" s="64"/>
    </row>
    <row r="322" spans="1:12" s="62" customFormat="1" hidden="1" outlineLevel="1" x14ac:dyDescent="0.2">
      <c r="A322" s="58"/>
      <c r="B322" s="59" t="s">
        <v>35</v>
      </c>
      <c r="C322" s="64" t="s">
        <v>32</v>
      </c>
      <c r="D322" s="64"/>
      <c r="J322" s="62">
        <v>0</v>
      </c>
    </row>
    <row r="323" spans="1:12" s="62" customFormat="1" ht="15.75" hidden="1" outlineLevel="1" x14ac:dyDescent="0.25">
      <c r="A323" s="53" t="s">
        <v>143</v>
      </c>
      <c r="B323" s="71"/>
      <c r="C323" s="55" t="s">
        <v>32</v>
      </c>
      <c r="D323" s="56">
        <f>ROUND(D324*D325,2)</f>
        <v>0</v>
      </c>
      <c r="I323" s="62">
        <v>0</v>
      </c>
      <c r="L323" s="62">
        <v>0</v>
      </c>
    </row>
    <row r="324" spans="1:12" s="62" customFormat="1" hidden="1" outlineLevel="1" x14ac:dyDescent="0.2">
      <c r="A324" s="58"/>
      <c r="B324" s="59" t="s">
        <v>33</v>
      </c>
      <c r="C324" s="64"/>
      <c r="D324" s="64"/>
    </row>
    <row r="325" spans="1:12" s="62" customFormat="1" hidden="1" outlineLevel="1" x14ac:dyDescent="0.2">
      <c r="A325" s="58"/>
      <c r="B325" s="59" t="s">
        <v>35</v>
      </c>
      <c r="C325" s="64" t="s">
        <v>32</v>
      </c>
      <c r="D325" s="64"/>
      <c r="J325" s="62">
        <v>0</v>
      </c>
    </row>
    <row r="326" spans="1:12" s="62" customFormat="1" ht="15.75" hidden="1" outlineLevel="1" x14ac:dyDescent="0.25">
      <c r="A326" s="53" t="s">
        <v>144</v>
      </c>
      <c r="B326" s="59"/>
      <c r="C326" s="55" t="s">
        <v>32</v>
      </c>
      <c r="D326" s="56">
        <f>ROUND(D327*D328,2)</f>
        <v>0</v>
      </c>
      <c r="I326" s="62">
        <v>0</v>
      </c>
      <c r="L326" s="62">
        <v>0</v>
      </c>
    </row>
    <row r="327" spans="1:12" s="62" customFormat="1" hidden="1" outlineLevel="1" x14ac:dyDescent="0.2">
      <c r="A327" s="58"/>
      <c r="B327" s="59" t="s">
        <v>33</v>
      </c>
      <c r="C327" s="64"/>
      <c r="D327" s="64"/>
    </row>
    <row r="328" spans="1:12" s="62" customFormat="1" hidden="1" outlineLevel="1" x14ac:dyDescent="0.2">
      <c r="A328" s="58"/>
      <c r="B328" s="59" t="s">
        <v>35</v>
      </c>
      <c r="C328" s="64" t="s">
        <v>32</v>
      </c>
      <c r="D328" s="64"/>
      <c r="J328" s="62">
        <v>0</v>
      </c>
    </row>
    <row r="329" spans="1:12" s="62" customFormat="1" ht="15.75" hidden="1" outlineLevel="1" x14ac:dyDescent="0.25">
      <c r="A329" s="53" t="s">
        <v>145</v>
      </c>
      <c r="B329" s="59"/>
      <c r="C329" s="55" t="s">
        <v>32</v>
      </c>
      <c r="D329" s="56">
        <f>ROUND(D330*D331,2)</f>
        <v>0</v>
      </c>
      <c r="I329" s="62">
        <v>0</v>
      </c>
      <c r="L329" s="62">
        <v>0</v>
      </c>
    </row>
    <row r="330" spans="1:12" s="62" customFormat="1" hidden="1" outlineLevel="1" x14ac:dyDescent="0.2">
      <c r="A330" s="58"/>
      <c r="B330" s="59" t="s">
        <v>33</v>
      </c>
      <c r="C330" s="64"/>
      <c r="D330" s="64"/>
    </row>
    <row r="331" spans="1:12" s="62" customFormat="1" hidden="1" outlineLevel="1" x14ac:dyDescent="0.2">
      <c r="A331" s="58"/>
      <c r="B331" s="59" t="s">
        <v>35</v>
      </c>
      <c r="C331" s="64" t="s">
        <v>32</v>
      </c>
      <c r="D331" s="64"/>
      <c r="J331" s="62">
        <v>0</v>
      </c>
    </row>
    <row r="332" spans="1:12" s="62" customFormat="1" ht="15.75" hidden="1" outlineLevel="1" x14ac:dyDescent="0.25">
      <c r="A332" s="53" t="s">
        <v>146</v>
      </c>
      <c r="B332" s="59"/>
      <c r="C332" s="55" t="s">
        <v>32</v>
      </c>
      <c r="D332" s="56">
        <f>ROUND(D333*D334,2)</f>
        <v>0</v>
      </c>
      <c r="I332" s="62">
        <v>0</v>
      </c>
      <c r="L332" s="62">
        <v>0</v>
      </c>
    </row>
    <row r="333" spans="1:12" s="62" customFormat="1" hidden="1" outlineLevel="1" x14ac:dyDescent="0.2">
      <c r="A333" s="58"/>
      <c r="B333" s="59" t="s">
        <v>33</v>
      </c>
      <c r="C333" s="64"/>
      <c r="D333" s="64"/>
    </row>
    <row r="334" spans="1:12" s="62" customFormat="1" hidden="1" outlineLevel="1" x14ac:dyDescent="0.2">
      <c r="A334" s="58"/>
      <c r="B334" s="59" t="s">
        <v>35</v>
      </c>
      <c r="C334" s="64" t="s">
        <v>32</v>
      </c>
      <c r="D334" s="64"/>
      <c r="J334" s="62">
        <v>0</v>
      </c>
    </row>
    <row r="335" spans="1:12" s="62" customFormat="1" ht="15.75" hidden="1" outlineLevel="1" x14ac:dyDescent="0.25">
      <c r="A335" s="53" t="s">
        <v>147</v>
      </c>
      <c r="B335" s="59"/>
      <c r="C335" s="55" t="s">
        <v>32</v>
      </c>
      <c r="D335" s="56">
        <f>ROUND(D336*D337,2)</f>
        <v>0</v>
      </c>
      <c r="I335" s="62">
        <v>0</v>
      </c>
      <c r="L335" s="62">
        <v>0</v>
      </c>
    </row>
    <row r="336" spans="1:12" s="62" customFormat="1" hidden="1" outlineLevel="1" x14ac:dyDescent="0.2">
      <c r="A336" s="58"/>
      <c r="B336" s="59" t="s">
        <v>33</v>
      </c>
      <c r="C336" s="64"/>
      <c r="D336" s="64"/>
    </row>
    <row r="337" spans="1:12" s="62" customFormat="1" hidden="1" outlineLevel="1" x14ac:dyDescent="0.2">
      <c r="A337" s="58"/>
      <c r="B337" s="59" t="s">
        <v>35</v>
      </c>
      <c r="C337" s="64" t="s">
        <v>32</v>
      </c>
      <c r="D337" s="64"/>
      <c r="J337" s="62">
        <v>0</v>
      </c>
    </row>
    <row r="338" spans="1:12" s="62" customFormat="1" ht="15.75" hidden="1" outlineLevel="1" x14ac:dyDescent="0.25">
      <c r="A338" s="53" t="s">
        <v>148</v>
      </c>
      <c r="B338" s="59"/>
      <c r="C338" s="55" t="s">
        <v>32</v>
      </c>
      <c r="D338" s="56">
        <f>ROUND(D339*D340,2)</f>
        <v>0</v>
      </c>
      <c r="I338" s="62">
        <v>0</v>
      </c>
      <c r="L338" s="62">
        <v>0</v>
      </c>
    </row>
    <row r="339" spans="1:12" s="62" customFormat="1" hidden="1" outlineLevel="1" x14ac:dyDescent="0.2">
      <c r="A339" s="58"/>
      <c r="B339" s="59" t="s">
        <v>33</v>
      </c>
      <c r="C339" s="64"/>
      <c r="D339" s="64"/>
    </row>
    <row r="340" spans="1:12" s="62" customFormat="1" hidden="1" outlineLevel="1" x14ac:dyDescent="0.2">
      <c r="A340" s="58"/>
      <c r="B340" s="59" t="s">
        <v>35</v>
      </c>
      <c r="C340" s="64" t="s">
        <v>32</v>
      </c>
      <c r="D340" s="64"/>
      <c r="J340" s="62">
        <v>0</v>
      </c>
    </row>
    <row r="341" spans="1:12" s="62" customFormat="1" ht="15.75" hidden="1" outlineLevel="1" x14ac:dyDescent="0.25">
      <c r="A341" s="53" t="s">
        <v>149</v>
      </c>
      <c r="B341" s="59"/>
      <c r="C341" s="55" t="s">
        <v>32</v>
      </c>
      <c r="D341" s="56">
        <f>ROUND(D342*D343,2)</f>
        <v>0</v>
      </c>
      <c r="I341" s="62">
        <v>0</v>
      </c>
      <c r="L341" s="62">
        <v>0</v>
      </c>
    </row>
    <row r="342" spans="1:12" s="62" customFormat="1" hidden="1" outlineLevel="1" x14ac:dyDescent="0.2">
      <c r="A342" s="58"/>
      <c r="B342" s="59" t="s">
        <v>33</v>
      </c>
      <c r="C342" s="64"/>
      <c r="D342" s="64"/>
    </row>
    <row r="343" spans="1:12" s="62" customFormat="1" hidden="1" outlineLevel="1" x14ac:dyDescent="0.2">
      <c r="A343" s="58"/>
      <c r="B343" s="59" t="s">
        <v>35</v>
      </c>
      <c r="C343" s="64" t="s">
        <v>32</v>
      </c>
      <c r="D343" s="64"/>
      <c r="J343" s="62">
        <v>0</v>
      </c>
    </row>
    <row r="344" spans="1:12" s="62" customFormat="1" ht="15.75" hidden="1" outlineLevel="1" x14ac:dyDescent="0.25">
      <c r="A344" s="53" t="s">
        <v>150</v>
      </c>
      <c r="B344" s="59"/>
      <c r="C344" s="55" t="s">
        <v>32</v>
      </c>
      <c r="D344" s="56">
        <f>ROUND(D345*D346,2)</f>
        <v>0</v>
      </c>
      <c r="I344" s="62">
        <v>0</v>
      </c>
      <c r="L344" s="62">
        <v>0</v>
      </c>
    </row>
    <row r="345" spans="1:12" s="62" customFormat="1" hidden="1" outlineLevel="1" x14ac:dyDescent="0.2">
      <c r="A345" s="58"/>
      <c r="B345" s="59" t="s">
        <v>33</v>
      </c>
      <c r="C345" s="64"/>
      <c r="D345" s="64"/>
    </row>
    <row r="346" spans="1:12" s="62" customFormat="1" hidden="1" outlineLevel="1" x14ac:dyDescent="0.2">
      <c r="A346" s="58"/>
      <c r="B346" s="59" t="s">
        <v>35</v>
      </c>
      <c r="C346" s="64" t="s">
        <v>32</v>
      </c>
      <c r="D346" s="64"/>
      <c r="J346" s="62">
        <v>0</v>
      </c>
    </row>
    <row r="347" spans="1:12" s="62" customFormat="1" ht="15.75" hidden="1" outlineLevel="1" x14ac:dyDescent="0.25">
      <c r="A347" s="53" t="s">
        <v>151</v>
      </c>
      <c r="B347" s="59"/>
      <c r="C347" s="55" t="s">
        <v>32</v>
      </c>
      <c r="D347" s="56">
        <f>ROUND(D348*D349,2)</f>
        <v>0</v>
      </c>
      <c r="I347" s="62">
        <v>0</v>
      </c>
      <c r="L347" s="62">
        <v>0</v>
      </c>
    </row>
    <row r="348" spans="1:12" s="62" customFormat="1" hidden="1" outlineLevel="1" x14ac:dyDescent="0.2">
      <c r="A348" s="58"/>
      <c r="B348" s="59" t="s">
        <v>33</v>
      </c>
      <c r="C348" s="64"/>
      <c r="D348" s="64"/>
    </row>
    <row r="349" spans="1:12" s="62" customFormat="1" hidden="1" outlineLevel="1" x14ac:dyDescent="0.2">
      <c r="A349" s="58"/>
      <c r="B349" s="59" t="s">
        <v>35</v>
      </c>
      <c r="C349" s="64" t="s">
        <v>32</v>
      </c>
      <c r="D349" s="64"/>
      <c r="J349" s="62">
        <v>0</v>
      </c>
    </row>
    <row r="350" spans="1:12" s="62" customFormat="1" ht="15.75" hidden="1" outlineLevel="1" x14ac:dyDescent="0.25">
      <c r="A350" s="53" t="s">
        <v>152</v>
      </c>
      <c r="B350" s="59"/>
      <c r="C350" s="55" t="s">
        <v>32</v>
      </c>
      <c r="D350" s="56">
        <f>ROUND(D351*D352,2)</f>
        <v>0</v>
      </c>
      <c r="I350" s="62">
        <v>0</v>
      </c>
      <c r="L350" s="62">
        <v>0</v>
      </c>
    </row>
    <row r="351" spans="1:12" s="62" customFormat="1" hidden="1" outlineLevel="1" x14ac:dyDescent="0.2">
      <c r="A351" s="58"/>
      <c r="B351" s="59" t="s">
        <v>33</v>
      </c>
      <c r="C351" s="64"/>
      <c r="D351" s="64"/>
    </row>
    <row r="352" spans="1:12" s="62" customFormat="1" hidden="1" outlineLevel="1" x14ac:dyDescent="0.2">
      <c r="A352" s="58"/>
      <c r="B352" s="59" t="s">
        <v>35</v>
      </c>
      <c r="C352" s="64" t="s">
        <v>32</v>
      </c>
      <c r="D352" s="64"/>
      <c r="J352" s="62">
        <v>0</v>
      </c>
    </row>
    <row r="353" spans="1:12" s="62" customFormat="1" ht="15.75" hidden="1" outlineLevel="1" x14ac:dyDescent="0.25">
      <c r="A353" s="53" t="s">
        <v>153</v>
      </c>
      <c r="B353" s="59"/>
      <c r="C353" s="55" t="s">
        <v>32</v>
      </c>
      <c r="D353" s="56">
        <f>ROUND(D354*D355,2)</f>
        <v>0</v>
      </c>
      <c r="I353" s="62">
        <v>0</v>
      </c>
      <c r="L353" s="62">
        <v>0</v>
      </c>
    </row>
    <row r="354" spans="1:12" s="62" customFormat="1" hidden="1" outlineLevel="1" x14ac:dyDescent="0.2">
      <c r="A354" s="58"/>
      <c r="B354" s="59" t="s">
        <v>33</v>
      </c>
      <c r="C354" s="64"/>
      <c r="D354" s="64"/>
    </row>
    <row r="355" spans="1:12" s="62" customFormat="1" hidden="1" outlineLevel="1" x14ac:dyDescent="0.2">
      <c r="A355" s="58"/>
      <c r="B355" s="59" t="s">
        <v>35</v>
      </c>
      <c r="C355" s="64" t="s">
        <v>32</v>
      </c>
      <c r="D355" s="64"/>
      <c r="J355" s="62">
        <v>0</v>
      </c>
    </row>
    <row r="356" spans="1:12" s="62" customFormat="1" ht="15.75" hidden="1" outlineLevel="1" x14ac:dyDescent="0.25">
      <c r="A356" s="53" t="s">
        <v>154</v>
      </c>
      <c r="B356" s="59"/>
      <c r="C356" s="55" t="s">
        <v>32</v>
      </c>
      <c r="D356" s="56">
        <f>ROUND(D357*D358,2)</f>
        <v>0</v>
      </c>
      <c r="I356" s="62">
        <v>0</v>
      </c>
      <c r="L356" s="62">
        <v>0</v>
      </c>
    </row>
    <row r="357" spans="1:12" s="62" customFormat="1" hidden="1" outlineLevel="1" x14ac:dyDescent="0.2">
      <c r="A357" s="58"/>
      <c r="B357" s="59" t="s">
        <v>33</v>
      </c>
      <c r="C357" s="64"/>
      <c r="D357" s="64"/>
    </row>
    <row r="358" spans="1:12" s="62" customFormat="1" hidden="1" outlineLevel="1" x14ac:dyDescent="0.2">
      <c r="A358" s="58"/>
      <c r="B358" s="59" t="s">
        <v>35</v>
      </c>
      <c r="C358" s="64" t="s">
        <v>32</v>
      </c>
      <c r="D358" s="64"/>
      <c r="J358" s="62">
        <v>0</v>
      </c>
    </row>
    <row r="359" spans="1:12" s="62" customFormat="1" ht="15.75" hidden="1" outlineLevel="1" x14ac:dyDescent="0.25">
      <c r="A359" s="53" t="s">
        <v>155</v>
      </c>
      <c r="B359" s="59"/>
      <c r="C359" s="64"/>
      <c r="D359" s="56">
        <f>ROUND(D360*D361,2)</f>
        <v>0</v>
      </c>
      <c r="I359" s="62">
        <v>0</v>
      </c>
      <c r="L359" s="62">
        <v>0</v>
      </c>
    </row>
    <row r="360" spans="1:12" s="62" customFormat="1" hidden="1" outlineLevel="1" x14ac:dyDescent="0.2">
      <c r="A360" s="58"/>
      <c r="B360" s="59" t="s">
        <v>33</v>
      </c>
      <c r="C360" s="64"/>
      <c r="D360" s="64"/>
    </row>
    <row r="361" spans="1:12" s="62" customFormat="1" hidden="1" outlineLevel="1" x14ac:dyDescent="0.2">
      <c r="A361" s="58"/>
      <c r="B361" s="59" t="s">
        <v>35</v>
      </c>
      <c r="C361" s="64"/>
      <c r="D361" s="64"/>
      <c r="J361" s="62">
        <v>0</v>
      </c>
    </row>
    <row r="362" spans="1:12" s="62" customFormat="1" ht="15.75" hidden="1" outlineLevel="1" x14ac:dyDescent="0.25">
      <c r="A362" s="58"/>
      <c r="B362" s="59"/>
      <c r="C362" s="64"/>
      <c r="D362" s="56">
        <f>ROUND(D363*D364,2)</f>
        <v>0</v>
      </c>
      <c r="I362" s="62">
        <v>0</v>
      </c>
      <c r="L362" s="62">
        <v>0</v>
      </c>
    </row>
    <row r="363" spans="1:12" s="62" customFormat="1" hidden="1" outlineLevel="1" x14ac:dyDescent="0.2">
      <c r="A363" s="58"/>
      <c r="B363" s="59" t="s">
        <v>33</v>
      </c>
      <c r="C363" s="64"/>
      <c r="D363" s="64"/>
    </row>
    <row r="364" spans="1:12" s="62" customFormat="1" hidden="1" outlineLevel="1" x14ac:dyDescent="0.2">
      <c r="A364" s="58"/>
      <c r="B364" s="59" t="s">
        <v>35</v>
      </c>
      <c r="C364" s="64"/>
      <c r="D364" s="64"/>
      <c r="J364" s="62">
        <v>0</v>
      </c>
    </row>
    <row r="365" spans="1:12" s="62" customFormat="1" ht="15.75" hidden="1" outlineLevel="1" x14ac:dyDescent="0.25">
      <c r="A365" s="58"/>
      <c r="B365" s="59"/>
      <c r="C365" s="64"/>
      <c r="D365" s="56">
        <f>ROUND(D366*D367,2)</f>
        <v>0</v>
      </c>
      <c r="I365" s="62">
        <v>0</v>
      </c>
      <c r="L365" s="62">
        <v>0</v>
      </c>
    </row>
    <row r="366" spans="1:12" s="62" customFormat="1" hidden="1" outlineLevel="1" x14ac:dyDescent="0.2">
      <c r="A366" s="58"/>
      <c r="B366" s="59" t="s">
        <v>33</v>
      </c>
      <c r="C366" s="64"/>
      <c r="D366" s="64"/>
    </row>
    <row r="367" spans="1:12" s="62" customFormat="1" hidden="1" outlineLevel="1" x14ac:dyDescent="0.2">
      <c r="A367" s="58"/>
      <c r="B367" s="59" t="s">
        <v>35</v>
      </c>
      <c r="C367" s="64"/>
      <c r="D367" s="64"/>
      <c r="J367" s="62">
        <v>0</v>
      </c>
    </row>
    <row r="368" spans="1:12" s="62" customFormat="1" ht="15.75" hidden="1" outlineLevel="1" x14ac:dyDescent="0.25">
      <c r="A368" s="58"/>
      <c r="B368" s="59"/>
      <c r="C368" s="64"/>
      <c r="D368" s="56">
        <f>ROUND(D369*D370,2)</f>
        <v>0</v>
      </c>
      <c r="I368" s="62">
        <v>0</v>
      </c>
      <c r="L368" s="62">
        <v>0</v>
      </c>
    </row>
    <row r="369" spans="1:12" s="62" customFormat="1" hidden="1" outlineLevel="1" x14ac:dyDescent="0.2">
      <c r="A369" s="58"/>
      <c r="B369" s="59" t="s">
        <v>33</v>
      </c>
      <c r="C369" s="64"/>
      <c r="D369" s="64"/>
    </row>
    <row r="370" spans="1:12" s="62" customFormat="1" hidden="1" outlineLevel="1" x14ac:dyDescent="0.2">
      <c r="A370" s="58"/>
      <c r="B370" s="59" t="s">
        <v>35</v>
      </c>
      <c r="C370" s="64"/>
      <c r="D370" s="64"/>
      <c r="J370" s="62">
        <v>0</v>
      </c>
    </row>
    <row r="371" spans="1:12" s="62" customFormat="1" ht="15.75" hidden="1" outlineLevel="1" x14ac:dyDescent="0.25">
      <c r="A371" s="58"/>
      <c r="B371" s="59"/>
      <c r="C371" s="64"/>
      <c r="D371" s="56">
        <f>ROUND(D372*D373,2)</f>
        <v>0</v>
      </c>
      <c r="I371" s="62">
        <v>0</v>
      </c>
      <c r="L371" s="62">
        <v>0</v>
      </c>
    </row>
    <row r="372" spans="1:12" s="62" customFormat="1" hidden="1" outlineLevel="1" x14ac:dyDescent="0.2">
      <c r="A372" s="58"/>
      <c r="B372" s="59" t="s">
        <v>33</v>
      </c>
      <c r="C372" s="64"/>
      <c r="D372" s="64"/>
    </row>
    <row r="373" spans="1:12" s="62" customFormat="1" hidden="1" outlineLevel="1" x14ac:dyDescent="0.2">
      <c r="A373" s="58"/>
      <c r="B373" s="59" t="s">
        <v>35</v>
      </c>
      <c r="C373" s="64"/>
      <c r="D373" s="64"/>
      <c r="J373" s="62">
        <v>0</v>
      </c>
    </row>
    <row r="374" spans="1:12" s="62" customFormat="1" ht="15.75" hidden="1" outlineLevel="1" x14ac:dyDescent="0.25">
      <c r="A374" s="58"/>
      <c r="B374" s="59"/>
      <c r="C374" s="64"/>
      <c r="D374" s="56">
        <f>ROUND(D375*D376,2)</f>
        <v>0</v>
      </c>
      <c r="I374" s="62">
        <v>0</v>
      </c>
      <c r="L374" s="62">
        <v>0</v>
      </c>
    </row>
    <row r="375" spans="1:12" s="62" customFormat="1" hidden="1" outlineLevel="1" x14ac:dyDescent="0.2">
      <c r="A375" s="58"/>
      <c r="B375" s="59" t="s">
        <v>33</v>
      </c>
      <c r="C375" s="64"/>
      <c r="D375" s="64"/>
    </row>
    <row r="376" spans="1:12" s="62" customFormat="1" hidden="1" outlineLevel="1" x14ac:dyDescent="0.2">
      <c r="A376" s="58"/>
      <c r="B376" s="59" t="s">
        <v>35</v>
      </c>
      <c r="C376" s="64"/>
      <c r="D376" s="64"/>
      <c r="J376" s="62">
        <v>0</v>
      </c>
    </row>
    <row r="377" spans="1:12" s="62" customFormat="1" ht="15.75" hidden="1" outlineLevel="1" x14ac:dyDescent="0.25">
      <c r="A377" s="58"/>
      <c r="B377" s="59"/>
      <c r="C377" s="64"/>
      <c r="D377" s="56">
        <f>ROUND(D378*D379,2)</f>
        <v>0</v>
      </c>
      <c r="I377" s="62">
        <v>0</v>
      </c>
      <c r="L377" s="62">
        <v>0</v>
      </c>
    </row>
    <row r="378" spans="1:12" s="62" customFormat="1" hidden="1" outlineLevel="1" x14ac:dyDescent="0.2">
      <c r="A378" s="58"/>
      <c r="B378" s="59" t="s">
        <v>33</v>
      </c>
      <c r="C378" s="64"/>
      <c r="D378" s="64"/>
    </row>
    <row r="379" spans="1:12" s="62" customFormat="1" hidden="1" outlineLevel="1" x14ac:dyDescent="0.2">
      <c r="A379" s="58"/>
      <c r="B379" s="59" t="s">
        <v>35</v>
      </c>
      <c r="C379" s="64"/>
      <c r="D379" s="64"/>
      <c r="J379" s="62">
        <v>0</v>
      </c>
    </row>
    <row r="380" spans="1:12" s="62" customFormat="1" ht="15.75" hidden="1" outlineLevel="1" x14ac:dyDescent="0.25">
      <c r="A380" s="58"/>
      <c r="B380" s="59"/>
      <c r="C380" s="64"/>
      <c r="D380" s="56">
        <f>ROUND(D381*D382,2)</f>
        <v>0</v>
      </c>
      <c r="I380" s="62">
        <v>0</v>
      </c>
      <c r="L380" s="62">
        <v>0</v>
      </c>
    </row>
    <row r="381" spans="1:12" s="62" customFormat="1" hidden="1" outlineLevel="1" x14ac:dyDescent="0.2">
      <c r="A381" s="58"/>
      <c r="B381" s="59" t="s">
        <v>33</v>
      </c>
      <c r="C381" s="64"/>
      <c r="D381" s="64"/>
    </row>
    <row r="382" spans="1:12" s="62" customFormat="1" hidden="1" outlineLevel="1" x14ac:dyDescent="0.2">
      <c r="A382" s="58"/>
      <c r="B382" s="59" t="s">
        <v>35</v>
      </c>
      <c r="C382" s="64"/>
      <c r="D382" s="64"/>
      <c r="J382" s="62">
        <v>0</v>
      </c>
    </row>
    <row r="383" spans="1:12" s="62" customFormat="1" ht="15.75" hidden="1" outlineLevel="1" x14ac:dyDescent="0.25">
      <c r="A383" s="58"/>
      <c r="B383" s="59"/>
      <c r="C383" s="64"/>
      <c r="D383" s="56">
        <f>ROUND(D384*D385,2)</f>
        <v>0</v>
      </c>
      <c r="I383" s="62">
        <v>0</v>
      </c>
      <c r="L383" s="62">
        <v>0</v>
      </c>
    </row>
    <row r="384" spans="1:12" s="62" customFormat="1" hidden="1" outlineLevel="1" x14ac:dyDescent="0.2">
      <c r="A384" s="58"/>
      <c r="B384" s="59" t="s">
        <v>33</v>
      </c>
      <c r="C384" s="64"/>
      <c r="D384" s="64"/>
    </row>
    <row r="385" spans="1:12" s="62" customFormat="1" hidden="1" outlineLevel="1" x14ac:dyDescent="0.2">
      <c r="A385" s="58"/>
      <c r="B385" s="59" t="s">
        <v>35</v>
      </c>
      <c r="C385" s="64"/>
      <c r="D385" s="64"/>
      <c r="J385" s="62">
        <v>0</v>
      </c>
    </row>
    <row r="386" spans="1:12" s="62" customFormat="1" ht="15.75" hidden="1" outlineLevel="1" x14ac:dyDescent="0.25">
      <c r="A386" s="58"/>
      <c r="B386" s="59"/>
      <c r="C386" s="64"/>
      <c r="D386" s="56">
        <f>ROUND(D387*D388,2)</f>
        <v>0</v>
      </c>
      <c r="I386" s="62">
        <v>0</v>
      </c>
      <c r="L386" s="62">
        <v>0</v>
      </c>
    </row>
    <row r="387" spans="1:12" s="62" customFormat="1" hidden="1" outlineLevel="1" x14ac:dyDescent="0.2">
      <c r="A387" s="58"/>
      <c r="B387" s="59" t="s">
        <v>33</v>
      </c>
      <c r="C387" s="64"/>
      <c r="D387" s="64"/>
    </row>
    <row r="388" spans="1:12" s="62" customFormat="1" hidden="1" outlineLevel="1" x14ac:dyDescent="0.2">
      <c r="A388" s="58"/>
      <c r="B388" s="59" t="s">
        <v>35</v>
      </c>
      <c r="C388" s="64"/>
      <c r="D388" s="64"/>
      <c r="J388" s="62">
        <v>0</v>
      </c>
    </row>
    <row r="389" spans="1:12" s="62" customFormat="1" ht="15.75" hidden="1" outlineLevel="1" x14ac:dyDescent="0.25">
      <c r="A389" s="58"/>
      <c r="B389" s="59"/>
      <c r="C389" s="64"/>
      <c r="D389" s="56">
        <f>ROUND(D390*D391,2)</f>
        <v>0</v>
      </c>
      <c r="I389" s="62">
        <v>0</v>
      </c>
      <c r="L389" s="62">
        <v>0</v>
      </c>
    </row>
    <row r="390" spans="1:12" s="62" customFormat="1" hidden="1" outlineLevel="1" x14ac:dyDescent="0.2">
      <c r="A390" s="58"/>
      <c r="B390" s="59" t="s">
        <v>33</v>
      </c>
      <c r="C390" s="64"/>
      <c r="D390" s="64"/>
    </row>
    <row r="391" spans="1:12" s="62" customFormat="1" hidden="1" outlineLevel="1" x14ac:dyDescent="0.2">
      <c r="A391" s="58"/>
      <c r="B391" s="59" t="s">
        <v>35</v>
      </c>
      <c r="C391" s="64"/>
      <c r="D391" s="64"/>
      <c r="J391" s="62">
        <v>0</v>
      </c>
    </row>
    <row r="392" spans="1:12" s="62" customFormat="1" ht="15.75" hidden="1" outlineLevel="1" x14ac:dyDescent="0.25">
      <c r="A392" s="58"/>
      <c r="B392" s="59"/>
      <c r="C392" s="64"/>
      <c r="D392" s="56">
        <f>ROUND(D393*D394,2)</f>
        <v>0</v>
      </c>
      <c r="I392" s="62">
        <v>0</v>
      </c>
      <c r="L392" s="62">
        <v>0</v>
      </c>
    </row>
    <row r="393" spans="1:12" s="62" customFormat="1" hidden="1" outlineLevel="1" x14ac:dyDescent="0.2">
      <c r="A393" s="58"/>
      <c r="B393" s="59" t="s">
        <v>33</v>
      </c>
      <c r="C393" s="64"/>
      <c r="D393" s="64"/>
    </row>
    <row r="394" spans="1:12" s="62" customFormat="1" hidden="1" outlineLevel="1" x14ac:dyDescent="0.2">
      <c r="A394" s="58"/>
      <c r="B394" s="59" t="s">
        <v>35</v>
      </c>
      <c r="C394" s="64"/>
      <c r="D394" s="64"/>
      <c r="J394" s="62">
        <v>0</v>
      </c>
    </row>
    <row r="395" spans="1:12" s="62" customFormat="1" ht="15.75" hidden="1" outlineLevel="1" x14ac:dyDescent="0.25">
      <c r="A395" s="58"/>
      <c r="B395" s="59"/>
      <c r="C395" s="64"/>
      <c r="D395" s="56">
        <f>ROUND(D396*D397,2)</f>
        <v>0</v>
      </c>
      <c r="I395" s="62">
        <v>0</v>
      </c>
      <c r="L395" s="62">
        <v>0</v>
      </c>
    </row>
    <row r="396" spans="1:12" s="62" customFormat="1" hidden="1" outlineLevel="1" x14ac:dyDescent="0.2">
      <c r="A396" s="58"/>
      <c r="B396" s="59" t="s">
        <v>33</v>
      </c>
      <c r="C396" s="64"/>
      <c r="D396" s="64"/>
    </row>
    <row r="397" spans="1:12" s="62" customFormat="1" hidden="1" outlineLevel="1" x14ac:dyDescent="0.2">
      <c r="A397" s="58"/>
      <c r="B397" s="59" t="s">
        <v>35</v>
      </c>
      <c r="C397" s="64"/>
      <c r="D397" s="64"/>
      <c r="J397" s="62">
        <v>0</v>
      </c>
    </row>
    <row r="398" spans="1:12" s="46" customFormat="1" ht="15.75" collapsed="1" x14ac:dyDescent="0.25">
      <c r="A398" s="48" t="s">
        <v>156</v>
      </c>
      <c r="B398" s="49" t="s">
        <v>157</v>
      </c>
      <c r="C398" s="50" t="s">
        <v>6</v>
      </c>
      <c r="D398" s="51">
        <f>D399+D407+D415+D422</f>
        <v>1543.05</v>
      </c>
      <c r="E398" s="82">
        <f>D399+D407</f>
        <v>1543.05</v>
      </c>
      <c r="I398" s="46">
        <v>721.15000000000009</v>
      </c>
      <c r="L398" s="46">
        <v>781.93000000000006</v>
      </c>
    </row>
    <row r="399" spans="1:12" s="46" customFormat="1" ht="15.75" x14ac:dyDescent="0.25">
      <c r="A399" s="53" t="s">
        <v>158</v>
      </c>
      <c r="B399" s="83" t="s">
        <v>159</v>
      </c>
      <c r="C399" s="55" t="s">
        <v>6</v>
      </c>
      <c r="D399" s="84">
        <f>ROUND((((D400*D401*D402*(100+D403)/100)+(D400*D401*D402*D404/100))*(100+D406)/100)*(100+D405)/100,2)</f>
        <v>0</v>
      </c>
      <c r="E399" s="82">
        <f>E403*1.15-D399</f>
        <v>0</v>
      </c>
      <c r="I399" s="46">
        <v>377.48</v>
      </c>
      <c r="L399" s="46">
        <v>408.26</v>
      </c>
    </row>
    <row r="400" spans="1:12" s="46" customFormat="1" ht="15.75" x14ac:dyDescent="0.25">
      <c r="A400" s="85"/>
      <c r="B400" s="59" t="s">
        <v>160</v>
      </c>
      <c r="C400" s="64" t="s">
        <v>161</v>
      </c>
      <c r="D400" s="64"/>
      <c r="E400" s="62">
        <f>D400*D401*D402</f>
        <v>0</v>
      </c>
      <c r="I400" s="46">
        <v>1</v>
      </c>
      <c r="J400" s="46">
        <v>639.58000000000004</v>
      </c>
      <c r="L400" s="46">
        <v>1</v>
      </c>
    </row>
    <row r="401" spans="1:14" s="46" customFormat="1" ht="15.75" x14ac:dyDescent="0.25">
      <c r="A401" s="85"/>
      <c r="B401" s="59" t="s">
        <v>162</v>
      </c>
      <c r="C401" s="64" t="s">
        <v>32</v>
      </c>
      <c r="D401" s="86">
        <f>[6]проценты!$E$15</f>
        <v>70.652499999999989</v>
      </c>
      <c r="E401" s="62">
        <f>E400*D403/100</f>
        <v>0</v>
      </c>
      <c r="I401" s="46">
        <v>62.939315762797769</v>
      </c>
      <c r="J401" s="46">
        <v>339.1</v>
      </c>
      <c r="L401" s="46">
        <v>68.435000000000002</v>
      </c>
    </row>
    <row r="402" spans="1:14" s="46" customFormat="1" ht="15.75" x14ac:dyDescent="0.25">
      <c r="A402" s="85"/>
      <c r="B402" s="59" t="s">
        <v>163</v>
      </c>
      <c r="C402" s="64" t="s">
        <v>164</v>
      </c>
      <c r="D402" s="87"/>
      <c r="E402" s="62">
        <f>E400*D404/100</f>
        <v>0</v>
      </c>
      <c r="I402" s="46">
        <v>2.4</v>
      </c>
      <c r="J402" s="88">
        <v>1</v>
      </c>
      <c r="L402" s="46">
        <v>2.3872554186851214</v>
      </c>
    </row>
    <row r="403" spans="1:14" s="46" customFormat="1" ht="15.75" x14ac:dyDescent="0.25">
      <c r="A403" s="85"/>
      <c r="B403" s="59" t="s">
        <v>165</v>
      </c>
      <c r="C403" s="64" t="s">
        <v>166</v>
      </c>
      <c r="D403" s="86">
        <f>[6]проценты!$E$16</f>
        <v>56</v>
      </c>
      <c r="E403" s="62">
        <f>E400+E401+E402</f>
        <v>0</v>
      </c>
      <c r="I403" s="46">
        <v>56</v>
      </c>
      <c r="J403" s="46">
        <v>43.128400852359206</v>
      </c>
      <c r="L403" s="46">
        <v>56</v>
      </c>
    </row>
    <row r="404" spans="1:14" s="46" customFormat="1" ht="15.75" x14ac:dyDescent="0.25">
      <c r="A404" s="85"/>
      <c r="B404" s="59" t="s">
        <v>167</v>
      </c>
      <c r="C404" s="64" t="s">
        <v>166</v>
      </c>
      <c r="D404" s="86">
        <f>[6]проценты!$B$3</f>
        <v>61.3</v>
      </c>
      <c r="E404" s="62"/>
      <c r="I404" s="46">
        <v>61.3</v>
      </c>
      <c r="J404" s="46">
        <v>2.4664787557339456</v>
      </c>
      <c r="L404" s="46">
        <v>61.3</v>
      </c>
    </row>
    <row r="405" spans="1:14" s="46" customFormat="1" ht="30.75" x14ac:dyDescent="0.25">
      <c r="A405" s="85"/>
      <c r="B405" s="59" t="s">
        <v>168</v>
      </c>
      <c r="C405" s="64" t="s">
        <v>166</v>
      </c>
      <c r="D405" s="64">
        <v>0</v>
      </c>
      <c r="E405" s="62"/>
      <c r="I405" s="46">
        <v>0</v>
      </c>
      <c r="J405" s="46">
        <v>87</v>
      </c>
      <c r="L405" s="46">
        <v>0</v>
      </c>
    </row>
    <row r="406" spans="1:14" s="46" customFormat="1" ht="15.75" x14ac:dyDescent="0.25">
      <c r="A406" s="85"/>
      <c r="B406" s="59" t="s">
        <v>169</v>
      </c>
      <c r="C406" s="64" t="s">
        <v>166</v>
      </c>
      <c r="D406" s="86">
        <f>[6]проценты!$B$7</f>
        <v>15</v>
      </c>
      <c r="E406" s="62"/>
      <c r="I406" s="46">
        <v>15</v>
      </c>
      <c r="J406" s="46">
        <v>44</v>
      </c>
      <c r="L406" s="46">
        <v>15</v>
      </c>
    </row>
    <row r="407" spans="1:14" s="57" customFormat="1" ht="15.75" x14ac:dyDescent="0.25">
      <c r="A407" s="53" t="s">
        <v>170</v>
      </c>
      <c r="B407" s="83" t="s">
        <v>171</v>
      </c>
      <c r="C407" s="55" t="s">
        <v>6</v>
      </c>
      <c r="D407" s="84">
        <f>ROUND((((D408*D409*D410*(100+D411)/100)+(D408*D409*D410*D412/100))*(100+D414)/100)*(100+D413)/100,2)</f>
        <v>1543.05</v>
      </c>
      <c r="E407" s="82">
        <f>E411*1.15-D407</f>
        <v>1.6459999999369757E-3</v>
      </c>
      <c r="I407" s="57">
        <v>343.67</v>
      </c>
      <c r="J407" s="57">
        <v>20</v>
      </c>
      <c r="L407" s="57">
        <v>373.67</v>
      </c>
    </row>
    <row r="408" spans="1:14" s="62" customFormat="1" ht="15" customHeight="1" x14ac:dyDescent="0.25">
      <c r="B408" s="59" t="s">
        <v>160</v>
      </c>
      <c r="C408" s="64" t="s">
        <v>161</v>
      </c>
      <c r="D408" s="89">
        <v>1</v>
      </c>
      <c r="E408" s="62">
        <f>D408*D409*D410</f>
        <v>617.48</v>
      </c>
      <c r="F408" s="63"/>
      <c r="I408" s="62">
        <v>1</v>
      </c>
      <c r="J408" s="62">
        <v>15</v>
      </c>
      <c r="L408" s="62">
        <v>1</v>
      </c>
      <c r="M408" s="46"/>
      <c r="N408" s="46"/>
    </row>
    <row r="409" spans="1:14" s="62" customFormat="1" ht="15.75" x14ac:dyDescent="0.25">
      <c r="A409" s="58"/>
      <c r="B409" s="59" t="s">
        <v>162</v>
      </c>
      <c r="C409" s="64" t="s">
        <v>32</v>
      </c>
      <c r="D409" s="86">
        <f>[6]проценты!$F$15</f>
        <v>77.185000000000002</v>
      </c>
      <c r="E409" s="62">
        <f>E408*D411/100</f>
        <v>345.78880000000004</v>
      </c>
      <c r="F409" s="63"/>
      <c r="I409" s="62">
        <v>68.763380638621385</v>
      </c>
      <c r="J409" s="62">
        <v>300.48</v>
      </c>
      <c r="L409" s="62">
        <v>74.765000000000001</v>
      </c>
      <c r="M409" s="46"/>
      <c r="N409" s="46"/>
    </row>
    <row r="410" spans="1:14" s="62" customFormat="1" ht="15.75" x14ac:dyDescent="0.25">
      <c r="A410" s="58"/>
      <c r="B410" s="59" t="s">
        <v>163</v>
      </c>
      <c r="C410" s="64" t="s">
        <v>164</v>
      </c>
      <c r="D410" s="87">
        <v>8</v>
      </c>
      <c r="E410" s="62">
        <f>E408*D412/100</f>
        <v>378.51523999999995</v>
      </c>
      <c r="F410" s="63"/>
      <c r="I410" s="62">
        <v>2</v>
      </c>
      <c r="J410" s="62">
        <v>1</v>
      </c>
      <c r="L410" s="62">
        <v>2</v>
      </c>
      <c r="M410" s="46"/>
      <c r="N410" s="46"/>
    </row>
    <row r="411" spans="1:14" s="62" customFormat="1" ht="15.75" x14ac:dyDescent="0.25">
      <c r="A411" s="58"/>
      <c r="B411" s="59" t="s">
        <v>165</v>
      </c>
      <c r="C411" s="64" t="s">
        <v>166</v>
      </c>
      <c r="D411" s="86">
        <f>[6]проценты!$F$16</f>
        <v>56</v>
      </c>
      <c r="E411" s="62">
        <f>E408+E409+E410</f>
        <v>1341.78404</v>
      </c>
      <c r="F411" s="63"/>
      <c r="I411" s="62">
        <v>56</v>
      </c>
      <c r="J411" s="62">
        <v>47.128990684931509</v>
      </c>
      <c r="L411" s="62">
        <v>56</v>
      </c>
      <c r="M411" s="46"/>
      <c r="N411" s="46"/>
    </row>
    <row r="412" spans="1:14" s="62" customFormat="1" ht="15.75" x14ac:dyDescent="0.25">
      <c r="A412" s="58"/>
      <c r="B412" s="59" t="s">
        <v>167</v>
      </c>
      <c r="C412" s="64" t="s">
        <v>166</v>
      </c>
      <c r="D412" s="65">
        <f>[6]проценты!$B$3</f>
        <v>61.3</v>
      </c>
      <c r="I412" s="62">
        <v>61.3</v>
      </c>
      <c r="J412" s="62">
        <v>2</v>
      </c>
      <c r="L412" s="62">
        <v>61.3</v>
      </c>
      <c r="M412" s="46"/>
      <c r="N412" s="46"/>
    </row>
    <row r="413" spans="1:14" s="62" customFormat="1" ht="30.75" x14ac:dyDescent="0.25">
      <c r="A413" s="85"/>
      <c r="B413" s="59" t="s">
        <v>168</v>
      </c>
      <c r="C413" s="64" t="s">
        <v>166</v>
      </c>
      <c r="D413" s="64">
        <v>0</v>
      </c>
      <c r="I413" s="62">
        <v>0</v>
      </c>
      <c r="J413" s="62">
        <v>87</v>
      </c>
      <c r="L413" s="62">
        <v>0</v>
      </c>
      <c r="M413" s="46"/>
      <c r="N413" s="46"/>
    </row>
    <row r="414" spans="1:14" s="62" customFormat="1" x14ac:dyDescent="0.2">
      <c r="A414" s="58"/>
      <c r="B414" s="59" t="s">
        <v>169</v>
      </c>
      <c r="C414" s="64" t="s">
        <v>166</v>
      </c>
      <c r="D414" s="65">
        <f>[6]проценты!$B$7</f>
        <v>15</v>
      </c>
      <c r="I414" s="62">
        <v>15</v>
      </c>
      <c r="J414" s="62">
        <v>44</v>
      </c>
      <c r="L414" s="62">
        <v>15</v>
      </c>
    </row>
    <row r="415" spans="1:14" s="62" customFormat="1" ht="15.75" hidden="1" x14ac:dyDescent="0.25">
      <c r="A415" s="53"/>
      <c r="B415" s="83"/>
      <c r="C415" s="55"/>
      <c r="D415" s="84"/>
      <c r="J415" s="62">
        <v>20</v>
      </c>
    </row>
    <row r="416" spans="1:14" s="62" customFormat="1" hidden="1" x14ac:dyDescent="0.2">
      <c r="B416" s="59" t="s">
        <v>160</v>
      </c>
      <c r="C416" s="64" t="s">
        <v>161</v>
      </c>
      <c r="D416" s="64">
        <v>1</v>
      </c>
      <c r="I416" s="62">
        <v>1</v>
      </c>
      <c r="J416" s="62">
        <v>15</v>
      </c>
      <c r="L416" s="62">
        <v>1</v>
      </c>
    </row>
    <row r="417" spans="1:12" s="62" customFormat="1" hidden="1" x14ac:dyDescent="0.2">
      <c r="A417" s="58"/>
      <c r="B417" s="59" t="s">
        <v>162</v>
      </c>
      <c r="C417" s="64" t="s">
        <v>32</v>
      </c>
      <c r="D417" s="65">
        <f>[6]проценты!$E$14</f>
        <v>64.239999999999995</v>
      </c>
      <c r="I417" s="62">
        <v>57.23525088697415</v>
      </c>
      <c r="L417" s="62">
        <v>62.225000000000001</v>
      </c>
    </row>
    <row r="418" spans="1:12" s="62" customFormat="1" hidden="1" x14ac:dyDescent="0.2">
      <c r="A418" s="58"/>
      <c r="B418" s="59" t="s">
        <v>163</v>
      </c>
      <c r="C418" s="64" t="s">
        <v>164</v>
      </c>
      <c r="D418" s="90">
        <v>180</v>
      </c>
      <c r="I418" s="62">
        <v>180</v>
      </c>
      <c r="J418" s="62">
        <v>1</v>
      </c>
      <c r="L418" s="62">
        <v>180</v>
      </c>
    </row>
    <row r="419" spans="1:12" s="62" customFormat="1" hidden="1" x14ac:dyDescent="0.2">
      <c r="A419" s="58"/>
      <c r="B419" s="59" t="s">
        <v>165</v>
      </c>
      <c r="C419" s="64" t="s">
        <v>166</v>
      </c>
      <c r="D419" s="65">
        <f>[6]проценты!$H$14</f>
        <v>42</v>
      </c>
      <c r="I419" s="62">
        <v>42</v>
      </c>
      <c r="J419" s="62">
        <v>39.217975525114156</v>
      </c>
      <c r="L419" s="62">
        <v>42</v>
      </c>
    </row>
    <row r="420" spans="1:12" s="62" customFormat="1" hidden="1" x14ac:dyDescent="0.2">
      <c r="A420" s="58"/>
      <c r="B420" s="59" t="s">
        <v>167</v>
      </c>
      <c r="C420" s="64" t="s">
        <v>166</v>
      </c>
      <c r="D420" s="65">
        <f>[6]проценты!$B$3</f>
        <v>61.3</v>
      </c>
      <c r="I420" s="62">
        <v>61.3</v>
      </c>
      <c r="J420" s="62">
        <v>180</v>
      </c>
      <c r="L420" s="62">
        <v>61.3</v>
      </c>
    </row>
    <row r="421" spans="1:12" s="62" customFormat="1" hidden="1" x14ac:dyDescent="0.2">
      <c r="A421" s="58"/>
      <c r="B421" s="59" t="s">
        <v>169</v>
      </c>
      <c r="C421" s="64" t="s">
        <v>166</v>
      </c>
      <c r="D421" s="65">
        <f>[6]проценты!$B$7</f>
        <v>15</v>
      </c>
      <c r="I421" s="62">
        <v>15</v>
      </c>
      <c r="J421" s="62">
        <v>72</v>
      </c>
      <c r="L421" s="62">
        <v>15</v>
      </c>
    </row>
    <row r="422" spans="1:12" s="62" customFormat="1" ht="15.75" hidden="1" x14ac:dyDescent="0.25">
      <c r="A422" s="53"/>
      <c r="B422" s="83"/>
      <c r="C422" s="55"/>
      <c r="D422" s="84"/>
      <c r="J422" s="62">
        <v>44</v>
      </c>
    </row>
    <row r="423" spans="1:12" s="62" customFormat="1" hidden="1" x14ac:dyDescent="0.2">
      <c r="A423" s="58"/>
      <c r="B423" s="59" t="s">
        <v>160</v>
      </c>
      <c r="C423" s="64" t="s">
        <v>161</v>
      </c>
      <c r="D423" s="64">
        <v>4</v>
      </c>
      <c r="I423" s="62">
        <v>4</v>
      </c>
      <c r="J423" s="62">
        <v>15</v>
      </c>
      <c r="L423" s="62">
        <v>4</v>
      </c>
    </row>
    <row r="424" spans="1:12" s="62" customFormat="1" hidden="1" x14ac:dyDescent="0.2">
      <c r="A424" s="58"/>
      <c r="B424" s="59" t="s">
        <v>162</v>
      </c>
      <c r="C424" s="64" t="s">
        <v>32</v>
      </c>
      <c r="D424" s="65">
        <f>[6]проценты!$E$14</f>
        <v>64.239999999999995</v>
      </c>
      <c r="I424" s="62">
        <v>57.23525088697415</v>
      </c>
      <c r="L424" s="62">
        <v>62.225000000000001</v>
      </c>
    </row>
    <row r="425" spans="1:12" s="62" customFormat="1" hidden="1" x14ac:dyDescent="0.2">
      <c r="A425" s="58"/>
      <c r="B425" s="59" t="s">
        <v>163</v>
      </c>
      <c r="C425" s="64" t="s">
        <v>164</v>
      </c>
      <c r="D425" s="64">
        <v>720</v>
      </c>
      <c r="I425" s="62">
        <v>720</v>
      </c>
      <c r="J425" s="62">
        <v>4</v>
      </c>
      <c r="L425" s="62">
        <v>720</v>
      </c>
    </row>
    <row r="426" spans="1:12" s="62" customFormat="1" hidden="1" x14ac:dyDescent="0.2">
      <c r="A426" s="58"/>
      <c r="B426" s="59" t="s">
        <v>165</v>
      </c>
      <c r="C426" s="64" t="s">
        <v>166</v>
      </c>
      <c r="D426" s="65">
        <f>[6]проценты!$H$14</f>
        <v>42</v>
      </c>
      <c r="I426" s="62">
        <v>42</v>
      </c>
      <c r="J426" s="62">
        <v>39.217975525114156</v>
      </c>
      <c r="L426" s="62">
        <v>42</v>
      </c>
    </row>
    <row r="427" spans="1:12" s="62" customFormat="1" hidden="1" x14ac:dyDescent="0.2">
      <c r="A427" s="58"/>
      <c r="B427" s="59" t="s">
        <v>167</v>
      </c>
      <c r="C427" s="64" t="s">
        <v>166</v>
      </c>
      <c r="D427" s="65">
        <f>[6]проценты!$B$3</f>
        <v>61.3</v>
      </c>
      <c r="I427" s="62">
        <v>61.3</v>
      </c>
      <c r="J427" s="62">
        <v>720</v>
      </c>
      <c r="L427" s="62">
        <v>61.3</v>
      </c>
    </row>
    <row r="428" spans="1:12" s="62" customFormat="1" hidden="1" x14ac:dyDescent="0.2">
      <c r="A428" s="58"/>
      <c r="B428" s="59" t="s">
        <v>169</v>
      </c>
      <c r="C428" s="64" t="s">
        <v>166</v>
      </c>
      <c r="D428" s="65">
        <f>[6]проценты!$B$7</f>
        <v>15</v>
      </c>
      <c r="I428" s="62">
        <v>15</v>
      </c>
      <c r="J428" s="62">
        <v>72</v>
      </c>
      <c r="L428" s="62">
        <v>15</v>
      </c>
    </row>
    <row r="429" spans="1:12" s="57" customFormat="1" ht="15.75" hidden="1" x14ac:dyDescent="0.25">
      <c r="A429" s="53" t="s">
        <v>172</v>
      </c>
      <c r="B429" s="83"/>
      <c r="C429" s="55" t="s">
        <v>6</v>
      </c>
      <c r="D429" s="84">
        <f>ROUND((((D430*D431*D432*(100+D433)/100)+(D430*D431*D432*D434/100))*(100+D435)/100),2)</f>
        <v>0</v>
      </c>
      <c r="E429" s="46"/>
      <c r="F429" s="47"/>
      <c r="I429" s="57">
        <v>0</v>
      </c>
      <c r="J429" s="57">
        <v>44</v>
      </c>
      <c r="L429" s="57">
        <v>0</v>
      </c>
    </row>
    <row r="430" spans="1:12" s="62" customFormat="1" ht="15" hidden="1" customHeight="1" x14ac:dyDescent="0.2">
      <c r="B430" s="59" t="s">
        <v>160</v>
      </c>
      <c r="C430" s="64" t="s">
        <v>161</v>
      </c>
      <c r="D430" s="64"/>
      <c r="J430" s="62">
        <v>15</v>
      </c>
    </row>
    <row r="431" spans="1:12" s="62" customFormat="1" hidden="1" x14ac:dyDescent="0.2">
      <c r="A431" s="58"/>
      <c r="B431" s="59" t="s">
        <v>162</v>
      </c>
      <c r="C431" s="64" t="s">
        <v>32</v>
      </c>
      <c r="D431" s="89"/>
      <c r="J431" s="62">
        <v>0</v>
      </c>
    </row>
    <row r="432" spans="1:12" s="62" customFormat="1" hidden="1" x14ac:dyDescent="0.2">
      <c r="A432" s="58"/>
      <c r="B432" s="59" t="s">
        <v>163</v>
      </c>
      <c r="C432" s="64" t="s">
        <v>164</v>
      </c>
      <c r="D432" s="90"/>
    </row>
    <row r="433" spans="1:12" s="62" customFormat="1" hidden="1" x14ac:dyDescent="0.2">
      <c r="A433" s="58"/>
      <c r="B433" s="59" t="s">
        <v>165</v>
      </c>
      <c r="C433" s="64" t="s">
        <v>166</v>
      </c>
      <c r="D433" s="64"/>
    </row>
    <row r="434" spans="1:12" s="62" customFormat="1" hidden="1" x14ac:dyDescent="0.2">
      <c r="A434" s="58"/>
      <c r="B434" s="59" t="s">
        <v>167</v>
      </c>
      <c r="C434" s="64" t="s">
        <v>166</v>
      </c>
      <c r="D434" s="64"/>
    </row>
    <row r="435" spans="1:12" s="62" customFormat="1" hidden="1" x14ac:dyDescent="0.2">
      <c r="A435" s="58"/>
      <c r="B435" s="59" t="s">
        <v>169</v>
      </c>
      <c r="C435" s="64" t="s">
        <v>166</v>
      </c>
      <c r="D435" s="64"/>
    </row>
    <row r="436" spans="1:12" s="62" customFormat="1" ht="15.75" hidden="1" x14ac:dyDescent="0.25">
      <c r="A436" s="53" t="s">
        <v>173</v>
      </c>
      <c r="B436" s="83"/>
      <c r="C436" s="55" t="s">
        <v>6</v>
      </c>
      <c r="D436" s="84">
        <f>ROUND((((D437*D438*D439*(100+D440)/100)+(D437*D438*D439*D441/100))*(100+D442)/100),2)</f>
        <v>0</v>
      </c>
      <c r="E436" s="46"/>
      <c r="F436" s="47"/>
      <c r="I436" s="62">
        <v>0</v>
      </c>
      <c r="L436" s="62">
        <v>0</v>
      </c>
    </row>
    <row r="437" spans="1:12" s="62" customFormat="1" hidden="1" x14ac:dyDescent="0.2">
      <c r="B437" s="59" t="s">
        <v>160</v>
      </c>
      <c r="C437" s="64" t="s">
        <v>161</v>
      </c>
      <c r="D437" s="64"/>
    </row>
    <row r="438" spans="1:12" s="62" customFormat="1" hidden="1" x14ac:dyDescent="0.2">
      <c r="A438" s="58"/>
      <c r="B438" s="59" t="s">
        <v>162</v>
      </c>
      <c r="C438" s="64" t="s">
        <v>32</v>
      </c>
      <c r="D438" s="89"/>
      <c r="J438" s="62">
        <v>0</v>
      </c>
    </row>
    <row r="439" spans="1:12" s="62" customFormat="1" hidden="1" x14ac:dyDescent="0.2">
      <c r="A439" s="58"/>
      <c r="B439" s="59" t="s">
        <v>163</v>
      </c>
      <c r="C439" s="64" t="s">
        <v>164</v>
      </c>
      <c r="D439" s="90"/>
    </row>
    <row r="440" spans="1:12" s="62" customFormat="1" hidden="1" x14ac:dyDescent="0.2">
      <c r="A440" s="58"/>
      <c r="B440" s="59" t="s">
        <v>165</v>
      </c>
      <c r="C440" s="64" t="s">
        <v>166</v>
      </c>
      <c r="D440" s="64"/>
    </row>
    <row r="441" spans="1:12" s="62" customFormat="1" hidden="1" x14ac:dyDescent="0.2">
      <c r="A441" s="58"/>
      <c r="B441" s="59" t="s">
        <v>169</v>
      </c>
      <c r="C441" s="64" t="s">
        <v>166</v>
      </c>
      <c r="D441" s="64"/>
    </row>
    <row r="442" spans="1:12" s="62" customFormat="1" hidden="1" x14ac:dyDescent="0.2">
      <c r="A442" s="58"/>
      <c r="B442" s="59" t="s">
        <v>167</v>
      </c>
      <c r="C442" s="64" t="s">
        <v>166</v>
      </c>
      <c r="D442" s="64"/>
    </row>
    <row r="443" spans="1:12" s="62" customFormat="1" ht="15.75" hidden="1" x14ac:dyDescent="0.25">
      <c r="A443" s="53" t="s">
        <v>174</v>
      </c>
      <c r="B443" s="91"/>
      <c r="C443" s="92"/>
      <c r="D443" s="84">
        <f>ROUND((((D444*D445*D446*(100+D447)/100)+(D444*D445*D446*D448/100))*(100+D449)/100),2)</f>
        <v>0</v>
      </c>
      <c r="I443" s="62">
        <v>0</v>
      </c>
      <c r="L443" s="62">
        <v>0</v>
      </c>
    </row>
    <row r="444" spans="1:12" s="62" customFormat="1" hidden="1" x14ac:dyDescent="0.2">
      <c r="A444" s="58"/>
      <c r="B444" s="59" t="s">
        <v>160</v>
      </c>
      <c r="C444" s="64" t="s">
        <v>161</v>
      </c>
      <c r="D444" s="93"/>
    </row>
    <row r="445" spans="1:12" s="62" customFormat="1" hidden="1" x14ac:dyDescent="0.2">
      <c r="A445" s="58"/>
      <c r="B445" s="59" t="s">
        <v>162</v>
      </c>
      <c r="C445" s="64" t="s">
        <v>32</v>
      </c>
      <c r="D445" s="93"/>
      <c r="J445" s="62">
        <v>0</v>
      </c>
    </row>
    <row r="446" spans="1:12" s="62" customFormat="1" hidden="1" x14ac:dyDescent="0.2">
      <c r="A446" s="58"/>
      <c r="B446" s="59" t="s">
        <v>163</v>
      </c>
      <c r="C446" s="64" t="s">
        <v>164</v>
      </c>
      <c r="D446" s="93"/>
    </row>
    <row r="447" spans="1:12" s="62" customFormat="1" hidden="1" x14ac:dyDescent="0.2">
      <c r="A447" s="58"/>
      <c r="B447" s="59" t="s">
        <v>165</v>
      </c>
      <c r="C447" s="64" t="s">
        <v>166</v>
      </c>
      <c r="D447" s="92"/>
    </row>
    <row r="448" spans="1:12" s="62" customFormat="1" hidden="1" x14ac:dyDescent="0.2">
      <c r="A448" s="58"/>
      <c r="B448" s="59" t="s">
        <v>169</v>
      </c>
      <c r="C448" s="64" t="s">
        <v>166</v>
      </c>
      <c r="D448" s="94"/>
    </row>
    <row r="449" spans="1:12" s="62" customFormat="1" ht="17.25" hidden="1" customHeight="1" x14ac:dyDescent="0.2">
      <c r="A449" s="58"/>
      <c r="B449" s="59" t="s">
        <v>167</v>
      </c>
      <c r="C449" s="64" t="s">
        <v>166</v>
      </c>
      <c r="D449" s="94"/>
    </row>
    <row r="450" spans="1:12" s="62" customFormat="1" ht="15.75" hidden="1" customHeight="1" x14ac:dyDescent="0.2">
      <c r="A450" s="58"/>
      <c r="B450" s="59" t="s">
        <v>169</v>
      </c>
      <c r="C450" s="64" t="s">
        <v>166</v>
      </c>
      <c r="D450" s="64">
        <f>[6]проценты!B7</f>
        <v>15</v>
      </c>
      <c r="I450" s="62">
        <v>15</v>
      </c>
      <c r="L450" s="62">
        <v>15</v>
      </c>
    </row>
    <row r="451" spans="1:12" s="52" customFormat="1" ht="36" customHeight="1" collapsed="1" x14ac:dyDescent="0.25">
      <c r="A451" s="48" t="s">
        <v>175</v>
      </c>
      <c r="B451" s="49" t="s">
        <v>176</v>
      </c>
      <c r="C451" s="50" t="s">
        <v>6</v>
      </c>
      <c r="D451" s="51">
        <f>ROUND(D398*D452/100,2)</f>
        <v>478.35</v>
      </c>
      <c r="E451" s="52">
        <f>D452*D398/100</f>
        <v>478.34549999999996</v>
      </c>
      <c r="I451" s="52">
        <v>223.99</v>
      </c>
      <c r="L451" s="52">
        <v>242.95</v>
      </c>
    </row>
    <row r="452" spans="1:12" s="62" customFormat="1" ht="16.5" customHeight="1" x14ac:dyDescent="0.2">
      <c r="A452" s="58"/>
      <c r="B452" s="59" t="s">
        <v>177</v>
      </c>
      <c r="C452" s="64" t="s">
        <v>166</v>
      </c>
      <c r="D452" s="86">
        <f>[6]проценты!$B$5</f>
        <v>31</v>
      </c>
      <c r="I452" s="62">
        <v>31.06</v>
      </c>
      <c r="J452" s="62">
        <v>15</v>
      </c>
      <c r="L452" s="62">
        <v>31.07</v>
      </c>
    </row>
    <row r="453" spans="1:12" s="46" customFormat="1" ht="15.75" collapsed="1" x14ac:dyDescent="0.25">
      <c r="A453" s="48" t="s">
        <v>178</v>
      </c>
      <c r="B453" s="49" t="s">
        <v>179</v>
      </c>
      <c r="C453" s="50" t="s">
        <v>6</v>
      </c>
      <c r="D453" s="51">
        <f>ROUND(D454*D398/100,2)</f>
        <v>0</v>
      </c>
      <c r="E453" s="46">
        <f>D454*D398/100</f>
        <v>0</v>
      </c>
      <c r="I453" s="46">
        <v>598.54999999999995</v>
      </c>
      <c r="J453" s="46">
        <v>219.76</v>
      </c>
      <c r="L453" s="46">
        <v>772.55</v>
      </c>
    </row>
    <row r="454" spans="1:12" s="62" customFormat="1" x14ac:dyDescent="0.2">
      <c r="A454" s="58"/>
      <c r="B454" s="59" t="s">
        <v>180</v>
      </c>
      <c r="C454" s="64" t="s">
        <v>166</v>
      </c>
      <c r="D454" s="86"/>
      <c r="I454" s="62">
        <v>83</v>
      </c>
      <c r="J454" s="62">
        <v>34.36</v>
      </c>
      <c r="L454" s="62">
        <v>98.8</v>
      </c>
    </row>
    <row r="455" spans="1:12" s="46" customFormat="1" ht="17.25" customHeight="1" x14ac:dyDescent="0.25">
      <c r="A455" s="48" t="s">
        <v>181</v>
      </c>
      <c r="B455" s="49" t="s">
        <v>182</v>
      </c>
      <c r="C455" s="50" t="s">
        <v>6</v>
      </c>
      <c r="D455" s="51">
        <f>D456</f>
        <v>0</v>
      </c>
      <c r="I455" s="46">
        <v>61.4</v>
      </c>
      <c r="J455" s="46">
        <v>599.07000000000005</v>
      </c>
      <c r="L455" s="46">
        <v>67.8</v>
      </c>
    </row>
    <row r="456" spans="1:12" s="46" customFormat="1" ht="17.25" customHeight="1" x14ac:dyDescent="0.25">
      <c r="A456" s="95" t="s">
        <v>183</v>
      </c>
      <c r="B456" s="96" t="s">
        <v>184</v>
      </c>
      <c r="C456" s="97" t="s">
        <v>6</v>
      </c>
      <c r="D456" s="98">
        <f>ROUND(D457+D460+D463,2)</f>
        <v>0</v>
      </c>
      <c r="I456" s="46">
        <v>61.4</v>
      </c>
      <c r="J456" s="46">
        <v>93.666452642471711</v>
      </c>
      <c r="L456" s="46">
        <v>67.8</v>
      </c>
    </row>
    <row r="457" spans="1:12" s="57" customFormat="1" ht="17.25" customHeight="1" outlineLevel="1" x14ac:dyDescent="0.25">
      <c r="B457" s="99" t="str">
        <f>[6]проценты!$A$52</f>
        <v>УАЗ ФЕРМЕР</v>
      </c>
      <c r="C457" s="55" t="s">
        <v>6</v>
      </c>
      <c r="D457" s="84">
        <f>ROUND(D458*D459,2)</f>
        <v>0</v>
      </c>
      <c r="E457" s="82">
        <f>D458*D459-D457</f>
        <v>0</v>
      </c>
      <c r="I457" s="57">
        <v>61.4</v>
      </c>
      <c r="J457" s="57">
        <v>137.36000000000001</v>
      </c>
      <c r="L457" s="57">
        <v>67.8</v>
      </c>
    </row>
    <row r="458" spans="1:12" s="62" customFormat="1" ht="17.25" customHeight="1" outlineLevel="1" x14ac:dyDescent="0.25">
      <c r="A458" s="53"/>
      <c r="B458" s="100" t="s">
        <v>185</v>
      </c>
      <c r="C458" s="64" t="s">
        <v>32</v>
      </c>
      <c r="D458" s="65"/>
      <c r="F458" s="63"/>
      <c r="I458" s="62">
        <v>368.68</v>
      </c>
      <c r="J458" s="62">
        <v>137.36000000000001</v>
      </c>
      <c r="L458" s="62">
        <v>406.81</v>
      </c>
    </row>
    <row r="459" spans="1:12" s="62" customFormat="1" ht="17.25" customHeight="1" outlineLevel="1" x14ac:dyDescent="0.25">
      <c r="A459" s="58"/>
      <c r="B459" s="100" t="s">
        <v>186</v>
      </c>
      <c r="C459" s="64" t="s">
        <v>164</v>
      </c>
      <c r="D459" s="87"/>
      <c r="F459" s="63"/>
      <c r="I459" s="62">
        <v>0.16653064857437933</v>
      </c>
      <c r="J459" s="62">
        <v>137.36000000000001</v>
      </c>
      <c r="L459" s="62">
        <v>0.16666666666666666</v>
      </c>
    </row>
    <row r="460" spans="1:12" s="57" customFormat="1" ht="17.25" hidden="1" customHeight="1" outlineLevel="2" x14ac:dyDescent="0.25">
      <c r="A460" s="58"/>
      <c r="B460" s="99"/>
      <c r="C460" s="55" t="s">
        <v>6</v>
      </c>
      <c r="D460" s="84">
        <f>ROUND(D461*D462,2)</f>
        <v>0</v>
      </c>
      <c r="E460" s="46"/>
      <c r="F460" s="47"/>
      <c r="I460" s="57">
        <v>0</v>
      </c>
      <c r="J460" s="57">
        <v>340</v>
      </c>
      <c r="L460" s="57">
        <v>0</v>
      </c>
    </row>
    <row r="461" spans="1:12" s="62" customFormat="1" ht="17.25" hidden="1" customHeight="1" outlineLevel="2" x14ac:dyDescent="0.25">
      <c r="A461" s="53"/>
      <c r="B461" s="100" t="s">
        <v>185</v>
      </c>
      <c r="C461" s="64" t="s">
        <v>32</v>
      </c>
      <c r="D461" s="64"/>
      <c r="J461" s="62">
        <v>0.40400000000000003</v>
      </c>
    </row>
    <row r="462" spans="1:12" s="62" customFormat="1" ht="17.25" hidden="1" customHeight="1" outlineLevel="1" x14ac:dyDescent="0.2">
      <c r="A462" s="58"/>
      <c r="B462" s="100" t="s">
        <v>186</v>
      </c>
      <c r="C462" s="64" t="s">
        <v>164</v>
      </c>
      <c r="D462" s="64"/>
      <c r="J462" s="62">
        <v>0</v>
      </c>
    </row>
    <row r="463" spans="1:12" s="62" customFormat="1" ht="17.25" hidden="1" customHeight="1" outlineLevel="1" x14ac:dyDescent="0.25">
      <c r="A463" s="58"/>
      <c r="B463" s="99"/>
      <c r="C463" s="55" t="s">
        <v>6</v>
      </c>
      <c r="D463" s="84">
        <f>ROUND(D464*D465,2)</f>
        <v>0</v>
      </c>
      <c r="I463" s="62">
        <v>0</v>
      </c>
      <c r="L463" s="62">
        <v>0</v>
      </c>
    </row>
    <row r="464" spans="1:12" s="62" customFormat="1" ht="17.25" hidden="1" customHeight="1" outlineLevel="1" x14ac:dyDescent="0.2">
      <c r="A464" s="58"/>
      <c r="B464" s="100" t="s">
        <v>185</v>
      </c>
      <c r="C464" s="64" t="s">
        <v>32</v>
      </c>
      <c r="D464" s="64"/>
    </row>
    <row r="465" spans="1:12" s="62" customFormat="1" ht="17.25" hidden="1" customHeight="1" outlineLevel="1" x14ac:dyDescent="0.2">
      <c r="A465" s="58"/>
      <c r="B465" s="100" t="s">
        <v>186</v>
      </c>
      <c r="C465" s="64" t="s">
        <v>164</v>
      </c>
      <c r="D465" s="65"/>
      <c r="J465" s="62">
        <v>0</v>
      </c>
    </row>
    <row r="466" spans="1:12" s="103" customFormat="1" ht="17.25" customHeight="1" collapsed="1" x14ac:dyDescent="0.25">
      <c r="A466" s="48" t="s">
        <v>187</v>
      </c>
      <c r="B466" s="101" t="s">
        <v>188</v>
      </c>
      <c r="C466" s="50" t="s">
        <v>6</v>
      </c>
      <c r="D466" s="102">
        <v>0</v>
      </c>
      <c r="F466" s="104"/>
      <c r="I466" s="103">
        <v>0</v>
      </c>
      <c r="L466" s="103">
        <v>0</v>
      </c>
    </row>
    <row r="467" spans="1:12" s="62" customFormat="1" ht="17.25" customHeight="1" x14ac:dyDescent="0.25">
      <c r="A467" s="48" t="s">
        <v>189</v>
      </c>
      <c r="B467" s="49" t="s">
        <v>190</v>
      </c>
      <c r="C467" s="50" t="s">
        <v>6</v>
      </c>
      <c r="D467" s="105">
        <f>ROUND((D7+D398+D451+D453+D455+D466)*D468/100,2)</f>
        <v>0</v>
      </c>
      <c r="E467" s="106">
        <f>D7+D398+D451+D453+D455</f>
        <v>2021.4</v>
      </c>
      <c r="I467" s="62">
        <v>63.38</v>
      </c>
      <c r="L467" s="62">
        <v>83.11</v>
      </c>
    </row>
    <row r="468" spans="1:12" s="62" customFormat="1" ht="17.25" customHeight="1" x14ac:dyDescent="0.2">
      <c r="A468" s="107"/>
      <c r="B468" s="59" t="s">
        <v>191</v>
      </c>
      <c r="C468" s="64" t="s">
        <v>166</v>
      </c>
      <c r="D468" s="65"/>
      <c r="E468" s="108">
        <f>E467*D468/100-D467</f>
        <v>0</v>
      </c>
      <c r="I468" s="62">
        <v>3.9</v>
      </c>
      <c r="J468" s="62">
        <v>0</v>
      </c>
      <c r="L468" s="62">
        <v>4.4000000000000004</v>
      </c>
    </row>
    <row r="469" spans="1:12" s="52" customFormat="1" ht="17.25" customHeight="1" collapsed="1" x14ac:dyDescent="0.25">
      <c r="A469" s="48" t="s">
        <v>192</v>
      </c>
      <c r="B469" s="109"/>
      <c r="C469" s="50" t="s">
        <v>6</v>
      </c>
      <c r="D469" s="51">
        <f>D467+D455+D453+D451+D398+D7+D466</f>
        <v>2021.4</v>
      </c>
      <c r="E469" s="110">
        <f>E467+D467-D469</f>
        <v>0</v>
      </c>
      <c r="I469" s="52">
        <v>1688.42</v>
      </c>
      <c r="J469" s="52">
        <v>70.930000000000007</v>
      </c>
      <c r="L469" s="52">
        <v>1972.08</v>
      </c>
    </row>
    <row r="470" spans="1:12" s="111" customFormat="1" ht="15.75" hidden="1" customHeight="1" x14ac:dyDescent="0.2">
      <c r="C470" s="112"/>
      <c r="D470" s="112"/>
      <c r="E470" s="113"/>
      <c r="I470" s="111">
        <v>3.9</v>
      </c>
      <c r="J470" s="111">
        <v>4.3899999999999997</v>
      </c>
    </row>
    <row r="471" spans="1:12" s="46" customFormat="1" ht="15" hidden="1" customHeight="1" x14ac:dyDescent="0.25">
      <c r="A471" s="114"/>
      <c r="B471" s="115"/>
      <c r="C471" s="116"/>
      <c r="D471" s="117"/>
      <c r="I471" s="46">
        <v>1688.42</v>
      </c>
      <c r="J471" s="46">
        <v>1686.7600000000002</v>
      </c>
    </row>
    <row r="472" spans="1:12" ht="15.75" hidden="1" x14ac:dyDescent="0.25">
      <c r="A472" s="118"/>
    </row>
    <row r="473" spans="1:12" s="39" customFormat="1" ht="56.25" customHeight="1" x14ac:dyDescent="0.25">
      <c r="A473" s="121"/>
      <c r="B473" s="39" t="s">
        <v>193</v>
      </c>
      <c r="C473" s="122"/>
      <c r="D473" s="123" t="s">
        <v>194</v>
      </c>
    </row>
    <row r="474" spans="1:12" s="125" customFormat="1" ht="55.5" customHeight="1" x14ac:dyDescent="0.25">
      <c r="A474" s="124"/>
      <c r="B474" s="125" t="s">
        <v>195</v>
      </c>
      <c r="C474" s="126"/>
      <c r="D474" s="123" t="s">
        <v>196</v>
      </c>
      <c r="E474" s="119"/>
    </row>
    <row r="475" spans="1:12" s="39" customFormat="1" ht="15.75" x14ac:dyDescent="0.25">
      <c r="A475" s="127"/>
      <c r="C475" s="122"/>
      <c r="D475" s="122"/>
      <c r="I475" s="39" t="s">
        <v>194</v>
      </c>
    </row>
    <row r="476" spans="1:12" ht="15.75" x14ac:dyDescent="0.25">
      <c r="A476" s="124"/>
    </row>
    <row r="477" spans="1:12" x14ac:dyDescent="0.2">
      <c r="B477" s="128"/>
    </row>
    <row r="478" spans="1:12" x14ac:dyDescent="0.2">
      <c r="B478" s="128"/>
    </row>
    <row r="483" spans="2:4" x14ac:dyDescent="0.2">
      <c r="B483" s="129"/>
      <c r="C483" s="129"/>
      <c r="D483" s="129"/>
    </row>
    <row r="484" spans="2:4" x14ac:dyDescent="0.2">
      <c r="B484" s="129"/>
      <c r="C484" s="129"/>
      <c r="D484" s="129"/>
    </row>
    <row r="485" spans="2:4" x14ac:dyDescent="0.2">
      <c r="B485" s="129"/>
      <c r="C485" s="129"/>
      <c r="D485" s="129"/>
    </row>
    <row r="486" spans="2:4" x14ac:dyDescent="0.2">
      <c r="B486" s="129"/>
      <c r="C486" s="129"/>
      <c r="D486" s="130"/>
    </row>
    <row r="487" spans="2:4" ht="15" customHeight="1" x14ac:dyDescent="0.2">
      <c r="B487" s="129"/>
      <c r="C487" s="129"/>
      <c r="D487" s="131"/>
    </row>
    <row r="488" spans="2:4" ht="15" customHeight="1" x14ac:dyDescent="0.25">
      <c r="B488" s="116"/>
      <c r="C488" s="116"/>
      <c r="D488" s="116"/>
    </row>
    <row r="489" spans="2:4" ht="15.75" x14ac:dyDescent="0.2">
      <c r="B489" s="132"/>
      <c r="C489" s="132"/>
      <c r="D489" s="132"/>
    </row>
    <row r="490" spans="2:4" ht="15.75" x14ac:dyDescent="0.25">
      <c r="B490" s="133"/>
      <c r="C490" s="39"/>
      <c r="D490" s="123"/>
    </row>
  </sheetData>
  <mergeCells count="6">
    <mergeCell ref="A1:D1"/>
    <mergeCell ref="A2:D2"/>
    <mergeCell ref="A5:A6"/>
    <mergeCell ref="B5:B6"/>
    <mergeCell ref="C5:C6"/>
    <mergeCell ref="D5:D6"/>
  </mergeCells>
  <printOptions horizontalCentered="1"/>
  <pageMargins left="0" right="0" top="0" bottom="0" header="0" footer="0"/>
  <pageSetup paperSize="9" scale="89" orientation="portrait" blackAndWhite="1" r:id="rId1"/>
  <headerFooter alignWithMargins="0"/>
  <rowBreaks count="1" manualBreakCount="1">
    <brk id="292" max="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1"/>
  <sheetViews>
    <sheetView showGridLines="0" topLeftCell="A2" workbookViewId="0">
      <selection activeCell="H4" sqref="H4"/>
    </sheetView>
  </sheetViews>
  <sheetFormatPr defaultRowHeight="12.75" outlineLevelRow="1" outlineLevelCol="1" x14ac:dyDescent="0.2"/>
  <cols>
    <col min="1" max="1" width="7.7109375" style="12" customWidth="1"/>
    <col min="2" max="2" width="24.7109375" style="12" customWidth="1"/>
    <col min="3" max="3" width="28.7109375" style="12" customWidth="1"/>
    <col min="4" max="4" width="17.5703125" style="12" customWidth="1"/>
    <col min="5" max="5" width="9.7109375" style="12" customWidth="1"/>
    <col min="6" max="6" width="17.85546875" style="12" customWidth="1"/>
    <col min="7" max="7" width="14.7109375" style="12" customWidth="1"/>
    <col min="8" max="8" width="12.85546875" style="12" customWidth="1" outlineLevel="1"/>
    <col min="9" max="9" width="9.7109375" style="12" customWidth="1" outlineLevel="1" collapsed="1"/>
    <col min="10" max="10" width="3" style="12" customWidth="1"/>
    <col min="11" max="11" width="15.85546875" style="12" customWidth="1"/>
    <col min="12" max="13" width="9.7109375" style="12" customWidth="1"/>
    <col min="14" max="15" width="7.7109375" style="12" customWidth="1"/>
    <col min="16" max="16" width="11.5703125" style="12" customWidth="1"/>
    <col min="17" max="17" width="11" style="12" customWidth="1"/>
    <col min="18" max="18" width="9.140625" style="12"/>
    <col min="19" max="19" width="6.7109375" style="12" customWidth="1"/>
    <col min="20" max="256" width="9.140625" style="12"/>
    <col min="257" max="257" width="7.7109375" style="12" customWidth="1"/>
    <col min="258" max="258" width="24.7109375" style="12" customWidth="1"/>
    <col min="259" max="259" width="28.7109375" style="12" customWidth="1"/>
    <col min="260" max="265" width="9.7109375" style="12" customWidth="1"/>
    <col min="266" max="266" width="3" style="12" customWidth="1"/>
    <col min="267" max="267" width="15.85546875" style="12" customWidth="1"/>
    <col min="268" max="269" width="9.7109375" style="12" customWidth="1"/>
    <col min="270" max="271" width="7.7109375" style="12" customWidth="1"/>
    <col min="272" max="272" width="11.5703125" style="12" customWidth="1"/>
    <col min="273" max="273" width="11" style="12" customWidth="1"/>
    <col min="274" max="274" width="9.140625" style="12"/>
    <col min="275" max="275" width="6.7109375" style="12" customWidth="1"/>
    <col min="276" max="512" width="9.140625" style="12"/>
    <col min="513" max="513" width="7.7109375" style="12" customWidth="1"/>
    <col min="514" max="514" width="24.7109375" style="12" customWidth="1"/>
    <col min="515" max="515" width="28.7109375" style="12" customWidth="1"/>
    <col min="516" max="521" width="9.7109375" style="12" customWidth="1"/>
    <col min="522" max="522" width="3" style="12" customWidth="1"/>
    <col min="523" max="523" width="15.85546875" style="12" customWidth="1"/>
    <col min="524" max="525" width="9.7109375" style="12" customWidth="1"/>
    <col min="526" max="527" width="7.7109375" style="12" customWidth="1"/>
    <col min="528" max="528" width="11.5703125" style="12" customWidth="1"/>
    <col min="529" max="529" width="11" style="12" customWidth="1"/>
    <col min="530" max="530" width="9.140625" style="12"/>
    <col min="531" max="531" width="6.7109375" style="12" customWidth="1"/>
    <col min="532" max="768" width="9.140625" style="12"/>
    <col min="769" max="769" width="7.7109375" style="12" customWidth="1"/>
    <col min="770" max="770" width="24.7109375" style="12" customWidth="1"/>
    <col min="771" max="771" width="28.7109375" style="12" customWidth="1"/>
    <col min="772" max="777" width="9.7109375" style="12" customWidth="1"/>
    <col min="778" max="778" width="3" style="12" customWidth="1"/>
    <col min="779" max="779" width="15.85546875" style="12" customWidth="1"/>
    <col min="780" max="781" width="9.7109375" style="12" customWidth="1"/>
    <col min="782" max="783" width="7.7109375" style="12" customWidth="1"/>
    <col min="784" max="784" width="11.5703125" style="12" customWidth="1"/>
    <col min="785" max="785" width="11" style="12" customWidth="1"/>
    <col min="786" max="786" width="9.140625" style="12"/>
    <col min="787" max="787" width="6.7109375" style="12" customWidth="1"/>
    <col min="788" max="1024" width="9.140625" style="12"/>
    <col min="1025" max="1025" width="7.7109375" style="12" customWidth="1"/>
    <col min="1026" max="1026" width="24.7109375" style="12" customWidth="1"/>
    <col min="1027" max="1027" width="28.7109375" style="12" customWidth="1"/>
    <col min="1028" max="1033" width="9.7109375" style="12" customWidth="1"/>
    <col min="1034" max="1034" width="3" style="12" customWidth="1"/>
    <col min="1035" max="1035" width="15.85546875" style="12" customWidth="1"/>
    <col min="1036" max="1037" width="9.7109375" style="12" customWidth="1"/>
    <col min="1038" max="1039" width="7.7109375" style="12" customWidth="1"/>
    <col min="1040" max="1040" width="11.5703125" style="12" customWidth="1"/>
    <col min="1041" max="1041" width="11" style="12" customWidth="1"/>
    <col min="1042" max="1042" width="9.140625" style="12"/>
    <col min="1043" max="1043" width="6.7109375" style="12" customWidth="1"/>
    <col min="1044" max="1280" width="9.140625" style="12"/>
    <col min="1281" max="1281" width="7.7109375" style="12" customWidth="1"/>
    <col min="1282" max="1282" width="24.7109375" style="12" customWidth="1"/>
    <col min="1283" max="1283" width="28.7109375" style="12" customWidth="1"/>
    <col min="1284" max="1289" width="9.7109375" style="12" customWidth="1"/>
    <col min="1290" max="1290" width="3" style="12" customWidth="1"/>
    <col min="1291" max="1291" width="15.85546875" style="12" customWidth="1"/>
    <col min="1292" max="1293" width="9.7109375" style="12" customWidth="1"/>
    <col min="1294" max="1295" width="7.7109375" style="12" customWidth="1"/>
    <col min="1296" max="1296" width="11.5703125" style="12" customWidth="1"/>
    <col min="1297" max="1297" width="11" style="12" customWidth="1"/>
    <col min="1298" max="1298" width="9.140625" style="12"/>
    <col min="1299" max="1299" width="6.7109375" style="12" customWidth="1"/>
    <col min="1300" max="1536" width="9.140625" style="12"/>
    <col min="1537" max="1537" width="7.7109375" style="12" customWidth="1"/>
    <col min="1538" max="1538" width="24.7109375" style="12" customWidth="1"/>
    <col min="1539" max="1539" width="28.7109375" style="12" customWidth="1"/>
    <col min="1540" max="1545" width="9.7109375" style="12" customWidth="1"/>
    <col min="1546" max="1546" width="3" style="12" customWidth="1"/>
    <col min="1547" max="1547" width="15.85546875" style="12" customWidth="1"/>
    <col min="1548" max="1549" width="9.7109375" style="12" customWidth="1"/>
    <col min="1550" max="1551" width="7.7109375" style="12" customWidth="1"/>
    <col min="1552" max="1552" width="11.5703125" style="12" customWidth="1"/>
    <col min="1553" max="1553" width="11" style="12" customWidth="1"/>
    <col min="1554" max="1554" width="9.140625" style="12"/>
    <col min="1555" max="1555" width="6.7109375" style="12" customWidth="1"/>
    <col min="1556" max="1792" width="9.140625" style="12"/>
    <col min="1793" max="1793" width="7.7109375" style="12" customWidth="1"/>
    <col min="1794" max="1794" width="24.7109375" style="12" customWidth="1"/>
    <col min="1795" max="1795" width="28.7109375" style="12" customWidth="1"/>
    <col min="1796" max="1801" width="9.7109375" style="12" customWidth="1"/>
    <col min="1802" max="1802" width="3" style="12" customWidth="1"/>
    <col min="1803" max="1803" width="15.85546875" style="12" customWidth="1"/>
    <col min="1804" max="1805" width="9.7109375" style="12" customWidth="1"/>
    <col min="1806" max="1807" width="7.7109375" style="12" customWidth="1"/>
    <col min="1808" max="1808" width="11.5703125" style="12" customWidth="1"/>
    <col min="1809" max="1809" width="11" style="12" customWidth="1"/>
    <col min="1810" max="1810" width="9.140625" style="12"/>
    <col min="1811" max="1811" width="6.7109375" style="12" customWidth="1"/>
    <col min="1812" max="2048" width="9.140625" style="12"/>
    <col min="2049" max="2049" width="7.7109375" style="12" customWidth="1"/>
    <col min="2050" max="2050" width="24.7109375" style="12" customWidth="1"/>
    <col min="2051" max="2051" width="28.7109375" style="12" customWidth="1"/>
    <col min="2052" max="2057" width="9.7109375" style="12" customWidth="1"/>
    <col min="2058" max="2058" width="3" style="12" customWidth="1"/>
    <col min="2059" max="2059" width="15.85546875" style="12" customWidth="1"/>
    <col min="2060" max="2061" width="9.7109375" style="12" customWidth="1"/>
    <col min="2062" max="2063" width="7.7109375" style="12" customWidth="1"/>
    <col min="2064" max="2064" width="11.5703125" style="12" customWidth="1"/>
    <col min="2065" max="2065" width="11" style="12" customWidth="1"/>
    <col min="2066" max="2066" width="9.140625" style="12"/>
    <col min="2067" max="2067" width="6.7109375" style="12" customWidth="1"/>
    <col min="2068" max="2304" width="9.140625" style="12"/>
    <col min="2305" max="2305" width="7.7109375" style="12" customWidth="1"/>
    <col min="2306" max="2306" width="24.7109375" style="12" customWidth="1"/>
    <col min="2307" max="2307" width="28.7109375" style="12" customWidth="1"/>
    <col min="2308" max="2313" width="9.7109375" style="12" customWidth="1"/>
    <col min="2314" max="2314" width="3" style="12" customWidth="1"/>
    <col min="2315" max="2315" width="15.85546875" style="12" customWidth="1"/>
    <col min="2316" max="2317" width="9.7109375" style="12" customWidth="1"/>
    <col min="2318" max="2319" width="7.7109375" style="12" customWidth="1"/>
    <col min="2320" max="2320" width="11.5703125" style="12" customWidth="1"/>
    <col min="2321" max="2321" width="11" style="12" customWidth="1"/>
    <col min="2322" max="2322" width="9.140625" style="12"/>
    <col min="2323" max="2323" width="6.7109375" style="12" customWidth="1"/>
    <col min="2324" max="2560" width="9.140625" style="12"/>
    <col min="2561" max="2561" width="7.7109375" style="12" customWidth="1"/>
    <col min="2562" max="2562" width="24.7109375" style="12" customWidth="1"/>
    <col min="2563" max="2563" width="28.7109375" style="12" customWidth="1"/>
    <col min="2564" max="2569" width="9.7109375" style="12" customWidth="1"/>
    <col min="2570" max="2570" width="3" style="12" customWidth="1"/>
    <col min="2571" max="2571" width="15.85546875" style="12" customWidth="1"/>
    <col min="2572" max="2573" width="9.7109375" style="12" customWidth="1"/>
    <col min="2574" max="2575" width="7.7109375" style="12" customWidth="1"/>
    <col min="2576" max="2576" width="11.5703125" style="12" customWidth="1"/>
    <col min="2577" max="2577" width="11" style="12" customWidth="1"/>
    <col min="2578" max="2578" width="9.140625" style="12"/>
    <col min="2579" max="2579" width="6.7109375" style="12" customWidth="1"/>
    <col min="2580" max="2816" width="9.140625" style="12"/>
    <col min="2817" max="2817" width="7.7109375" style="12" customWidth="1"/>
    <col min="2818" max="2818" width="24.7109375" style="12" customWidth="1"/>
    <col min="2819" max="2819" width="28.7109375" style="12" customWidth="1"/>
    <col min="2820" max="2825" width="9.7109375" style="12" customWidth="1"/>
    <col min="2826" max="2826" width="3" style="12" customWidth="1"/>
    <col min="2827" max="2827" width="15.85546875" style="12" customWidth="1"/>
    <col min="2828" max="2829" width="9.7109375" style="12" customWidth="1"/>
    <col min="2830" max="2831" width="7.7109375" style="12" customWidth="1"/>
    <col min="2832" max="2832" width="11.5703125" style="12" customWidth="1"/>
    <col min="2833" max="2833" width="11" style="12" customWidth="1"/>
    <col min="2834" max="2834" width="9.140625" style="12"/>
    <col min="2835" max="2835" width="6.7109375" style="12" customWidth="1"/>
    <col min="2836" max="3072" width="9.140625" style="12"/>
    <col min="3073" max="3073" width="7.7109375" style="12" customWidth="1"/>
    <col min="3074" max="3074" width="24.7109375" style="12" customWidth="1"/>
    <col min="3075" max="3075" width="28.7109375" style="12" customWidth="1"/>
    <col min="3076" max="3081" width="9.7109375" style="12" customWidth="1"/>
    <col min="3082" max="3082" width="3" style="12" customWidth="1"/>
    <col min="3083" max="3083" width="15.85546875" style="12" customWidth="1"/>
    <col min="3084" max="3085" width="9.7109375" style="12" customWidth="1"/>
    <col min="3086" max="3087" width="7.7109375" style="12" customWidth="1"/>
    <col min="3088" max="3088" width="11.5703125" style="12" customWidth="1"/>
    <col min="3089" max="3089" width="11" style="12" customWidth="1"/>
    <col min="3090" max="3090" width="9.140625" style="12"/>
    <col min="3091" max="3091" width="6.7109375" style="12" customWidth="1"/>
    <col min="3092" max="3328" width="9.140625" style="12"/>
    <col min="3329" max="3329" width="7.7109375" style="12" customWidth="1"/>
    <col min="3330" max="3330" width="24.7109375" style="12" customWidth="1"/>
    <col min="3331" max="3331" width="28.7109375" style="12" customWidth="1"/>
    <col min="3332" max="3337" width="9.7109375" style="12" customWidth="1"/>
    <col min="3338" max="3338" width="3" style="12" customWidth="1"/>
    <col min="3339" max="3339" width="15.85546875" style="12" customWidth="1"/>
    <col min="3340" max="3341" width="9.7109375" style="12" customWidth="1"/>
    <col min="3342" max="3343" width="7.7109375" style="12" customWidth="1"/>
    <col min="3344" max="3344" width="11.5703125" style="12" customWidth="1"/>
    <col min="3345" max="3345" width="11" style="12" customWidth="1"/>
    <col min="3346" max="3346" width="9.140625" style="12"/>
    <col min="3347" max="3347" width="6.7109375" style="12" customWidth="1"/>
    <col min="3348" max="3584" width="9.140625" style="12"/>
    <col min="3585" max="3585" width="7.7109375" style="12" customWidth="1"/>
    <col min="3586" max="3586" width="24.7109375" style="12" customWidth="1"/>
    <col min="3587" max="3587" width="28.7109375" style="12" customWidth="1"/>
    <col min="3588" max="3593" width="9.7109375" style="12" customWidth="1"/>
    <col min="3594" max="3594" width="3" style="12" customWidth="1"/>
    <col min="3595" max="3595" width="15.85546875" style="12" customWidth="1"/>
    <col min="3596" max="3597" width="9.7109375" style="12" customWidth="1"/>
    <col min="3598" max="3599" width="7.7109375" style="12" customWidth="1"/>
    <col min="3600" max="3600" width="11.5703125" style="12" customWidth="1"/>
    <col min="3601" max="3601" width="11" style="12" customWidth="1"/>
    <col min="3602" max="3602" width="9.140625" style="12"/>
    <col min="3603" max="3603" width="6.7109375" style="12" customWidth="1"/>
    <col min="3604" max="3840" width="9.140625" style="12"/>
    <col min="3841" max="3841" width="7.7109375" style="12" customWidth="1"/>
    <col min="3842" max="3842" width="24.7109375" style="12" customWidth="1"/>
    <col min="3843" max="3843" width="28.7109375" style="12" customWidth="1"/>
    <col min="3844" max="3849" width="9.7109375" style="12" customWidth="1"/>
    <col min="3850" max="3850" width="3" style="12" customWidth="1"/>
    <col min="3851" max="3851" width="15.85546875" style="12" customWidth="1"/>
    <col min="3852" max="3853" width="9.7109375" style="12" customWidth="1"/>
    <col min="3854" max="3855" width="7.7109375" style="12" customWidth="1"/>
    <col min="3856" max="3856" width="11.5703125" style="12" customWidth="1"/>
    <col min="3857" max="3857" width="11" style="12" customWidth="1"/>
    <col min="3858" max="3858" width="9.140625" style="12"/>
    <col min="3859" max="3859" width="6.7109375" style="12" customWidth="1"/>
    <col min="3860" max="4096" width="9.140625" style="12"/>
    <col min="4097" max="4097" width="7.7109375" style="12" customWidth="1"/>
    <col min="4098" max="4098" width="24.7109375" style="12" customWidth="1"/>
    <col min="4099" max="4099" width="28.7109375" style="12" customWidth="1"/>
    <col min="4100" max="4105" width="9.7109375" style="12" customWidth="1"/>
    <col min="4106" max="4106" width="3" style="12" customWidth="1"/>
    <col min="4107" max="4107" width="15.85546875" style="12" customWidth="1"/>
    <col min="4108" max="4109" width="9.7109375" style="12" customWidth="1"/>
    <col min="4110" max="4111" width="7.7109375" style="12" customWidth="1"/>
    <col min="4112" max="4112" width="11.5703125" style="12" customWidth="1"/>
    <col min="4113" max="4113" width="11" style="12" customWidth="1"/>
    <col min="4114" max="4114" width="9.140625" style="12"/>
    <col min="4115" max="4115" width="6.7109375" style="12" customWidth="1"/>
    <col min="4116" max="4352" width="9.140625" style="12"/>
    <col min="4353" max="4353" width="7.7109375" style="12" customWidth="1"/>
    <col min="4354" max="4354" width="24.7109375" style="12" customWidth="1"/>
    <col min="4355" max="4355" width="28.7109375" style="12" customWidth="1"/>
    <col min="4356" max="4361" width="9.7109375" style="12" customWidth="1"/>
    <col min="4362" max="4362" width="3" style="12" customWidth="1"/>
    <col min="4363" max="4363" width="15.85546875" style="12" customWidth="1"/>
    <col min="4364" max="4365" width="9.7109375" style="12" customWidth="1"/>
    <col min="4366" max="4367" width="7.7109375" style="12" customWidth="1"/>
    <col min="4368" max="4368" width="11.5703125" style="12" customWidth="1"/>
    <col min="4369" max="4369" width="11" style="12" customWidth="1"/>
    <col min="4370" max="4370" width="9.140625" style="12"/>
    <col min="4371" max="4371" width="6.7109375" style="12" customWidth="1"/>
    <col min="4372" max="4608" width="9.140625" style="12"/>
    <col min="4609" max="4609" width="7.7109375" style="12" customWidth="1"/>
    <col min="4610" max="4610" width="24.7109375" style="12" customWidth="1"/>
    <col min="4611" max="4611" width="28.7109375" style="12" customWidth="1"/>
    <col min="4612" max="4617" width="9.7109375" style="12" customWidth="1"/>
    <col min="4618" max="4618" width="3" style="12" customWidth="1"/>
    <col min="4619" max="4619" width="15.85546875" style="12" customWidth="1"/>
    <col min="4620" max="4621" width="9.7109375" style="12" customWidth="1"/>
    <col min="4622" max="4623" width="7.7109375" style="12" customWidth="1"/>
    <col min="4624" max="4624" width="11.5703125" style="12" customWidth="1"/>
    <col min="4625" max="4625" width="11" style="12" customWidth="1"/>
    <col min="4626" max="4626" width="9.140625" style="12"/>
    <col min="4627" max="4627" width="6.7109375" style="12" customWidth="1"/>
    <col min="4628" max="4864" width="9.140625" style="12"/>
    <col min="4865" max="4865" width="7.7109375" style="12" customWidth="1"/>
    <col min="4866" max="4866" width="24.7109375" style="12" customWidth="1"/>
    <col min="4867" max="4867" width="28.7109375" style="12" customWidth="1"/>
    <col min="4868" max="4873" width="9.7109375" style="12" customWidth="1"/>
    <col min="4874" max="4874" width="3" style="12" customWidth="1"/>
    <col min="4875" max="4875" width="15.85546875" style="12" customWidth="1"/>
    <col min="4876" max="4877" width="9.7109375" style="12" customWidth="1"/>
    <col min="4878" max="4879" width="7.7109375" style="12" customWidth="1"/>
    <col min="4880" max="4880" width="11.5703125" style="12" customWidth="1"/>
    <col min="4881" max="4881" width="11" style="12" customWidth="1"/>
    <col min="4882" max="4882" width="9.140625" style="12"/>
    <col min="4883" max="4883" width="6.7109375" style="12" customWidth="1"/>
    <col min="4884" max="5120" width="9.140625" style="12"/>
    <col min="5121" max="5121" width="7.7109375" style="12" customWidth="1"/>
    <col min="5122" max="5122" width="24.7109375" style="12" customWidth="1"/>
    <col min="5123" max="5123" width="28.7109375" style="12" customWidth="1"/>
    <col min="5124" max="5129" width="9.7109375" style="12" customWidth="1"/>
    <col min="5130" max="5130" width="3" style="12" customWidth="1"/>
    <col min="5131" max="5131" width="15.85546875" style="12" customWidth="1"/>
    <col min="5132" max="5133" width="9.7109375" style="12" customWidth="1"/>
    <col min="5134" max="5135" width="7.7109375" style="12" customWidth="1"/>
    <col min="5136" max="5136" width="11.5703125" style="12" customWidth="1"/>
    <col min="5137" max="5137" width="11" style="12" customWidth="1"/>
    <col min="5138" max="5138" width="9.140625" style="12"/>
    <col min="5139" max="5139" width="6.7109375" style="12" customWidth="1"/>
    <col min="5140" max="5376" width="9.140625" style="12"/>
    <col min="5377" max="5377" width="7.7109375" style="12" customWidth="1"/>
    <col min="5378" max="5378" width="24.7109375" style="12" customWidth="1"/>
    <col min="5379" max="5379" width="28.7109375" style="12" customWidth="1"/>
    <col min="5380" max="5385" width="9.7109375" style="12" customWidth="1"/>
    <col min="5386" max="5386" width="3" style="12" customWidth="1"/>
    <col min="5387" max="5387" width="15.85546875" style="12" customWidth="1"/>
    <col min="5388" max="5389" width="9.7109375" style="12" customWidth="1"/>
    <col min="5390" max="5391" width="7.7109375" style="12" customWidth="1"/>
    <col min="5392" max="5392" width="11.5703125" style="12" customWidth="1"/>
    <col min="5393" max="5393" width="11" style="12" customWidth="1"/>
    <col min="5394" max="5394" width="9.140625" style="12"/>
    <col min="5395" max="5395" width="6.7109375" style="12" customWidth="1"/>
    <col min="5396" max="5632" width="9.140625" style="12"/>
    <col min="5633" max="5633" width="7.7109375" style="12" customWidth="1"/>
    <col min="5634" max="5634" width="24.7109375" style="12" customWidth="1"/>
    <col min="5635" max="5635" width="28.7109375" style="12" customWidth="1"/>
    <col min="5636" max="5641" width="9.7109375" style="12" customWidth="1"/>
    <col min="5642" max="5642" width="3" style="12" customWidth="1"/>
    <col min="5643" max="5643" width="15.85546875" style="12" customWidth="1"/>
    <col min="5644" max="5645" width="9.7109375" style="12" customWidth="1"/>
    <col min="5646" max="5647" width="7.7109375" style="12" customWidth="1"/>
    <col min="5648" max="5648" width="11.5703125" style="12" customWidth="1"/>
    <col min="5649" max="5649" width="11" style="12" customWidth="1"/>
    <col min="5650" max="5650" width="9.140625" style="12"/>
    <col min="5651" max="5651" width="6.7109375" style="12" customWidth="1"/>
    <col min="5652" max="5888" width="9.140625" style="12"/>
    <col min="5889" max="5889" width="7.7109375" style="12" customWidth="1"/>
    <col min="5890" max="5890" width="24.7109375" style="12" customWidth="1"/>
    <col min="5891" max="5891" width="28.7109375" style="12" customWidth="1"/>
    <col min="5892" max="5897" width="9.7109375" style="12" customWidth="1"/>
    <col min="5898" max="5898" width="3" style="12" customWidth="1"/>
    <col min="5899" max="5899" width="15.85546875" style="12" customWidth="1"/>
    <col min="5900" max="5901" width="9.7109375" style="12" customWidth="1"/>
    <col min="5902" max="5903" width="7.7109375" style="12" customWidth="1"/>
    <col min="5904" max="5904" width="11.5703125" style="12" customWidth="1"/>
    <col min="5905" max="5905" width="11" style="12" customWidth="1"/>
    <col min="5906" max="5906" width="9.140625" style="12"/>
    <col min="5907" max="5907" width="6.7109375" style="12" customWidth="1"/>
    <col min="5908" max="6144" width="9.140625" style="12"/>
    <col min="6145" max="6145" width="7.7109375" style="12" customWidth="1"/>
    <col min="6146" max="6146" width="24.7109375" style="12" customWidth="1"/>
    <col min="6147" max="6147" width="28.7109375" style="12" customWidth="1"/>
    <col min="6148" max="6153" width="9.7109375" style="12" customWidth="1"/>
    <col min="6154" max="6154" width="3" style="12" customWidth="1"/>
    <col min="6155" max="6155" width="15.85546875" style="12" customWidth="1"/>
    <col min="6156" max="6157" width="9.7109375" style="12" customWidth="1"/>
    <col min="6158" max="6159" width="7.7109375" style="12" customWidth="1"/>
    <col min="6160" max="6160" width="11.5703125" style="12" customWidth="1"/>
    <col min="6161" max="6161" width="11" style="12" customWidth="1"/>
    <col min="6162" max="6162" width="9.140625" style="12"/>
    <col min="6163" max="6163" width="6.7109375" style="12" customWidth="1"/>
    <col min="6164" max="6400" width="9.140625" style="12"/>
    <col min="6401" max="6401" width="7.7109375" style="12" customWidth="1"/>
    <col min="6402" max="6402" width="24.7109375" style="12" customWidth="1"/>
    <col min="6403" max="6403" width="28.7109375" style="12" customWidth="1"/>
    <col min="6404" max="6409" width="9.7109375" style="12" customWidth="1"/>
    <col min="6410" max="6410" width="3" style="12" customWidth="1"/>
    <col min="6411" max="6411" width="15.85546875" style="12" customWidth="1"/>
    <col min="6412" max="6413" width="9.7109375" style="12" customWidth="1"/>
    <col min="6414" max="6415" width="7.7109375" style="12" customWidth="1"/>
    <col min="6416" max="6416" width="11.5703125" style="12" customWidth="1"/>
    <col min="6417" max="6417" width="11" style="12" customWidth="1"/>
    <col min="6418" max="6418" width="9.140625" style="12"/>
    <col min="6419" max="6419" width="6.7109375" style="12" customWidth="1"/>
    <col min="6420" max="6656" width="9.140625" style="12"/>
    <col min="6657" max="6657" width="7.7109375" style="12" customWidth="1"/>
    <col min="6658" max="6658" width="24.7109375" style="12" customWidth="1"/>
    <col min="6659" max="6659" width="28.7109375" style="12" customWidth="1"/>
    <col min="6660" max="6665" width="9.7109375" style="12" customWidth="1"/>
    <col min="6666" max="6666" width="3" style="12" customWidth="1"/>
    <col min="6667" max="6667" width="15.85546875" style="12" customWidth="1"/>
    <col min="6668" max="6669" width="9.7109375" style="12" customWidth="1"/>
    <col min="6670" max="6671" width="7.7109375" style="12" customWidth="1"/>
    <col min="6672" max="6672" width="11.5703125" style="12" customWidth="1"/>
    <col min="6673" max="6673" width="11" style="12" customWidth="1"/>
    <col min="6674" max="6674" width="9.140625" style="12"/>
    <col min="6675" max="6675" width="6.7109375" style="12" customWidth="1"/>
    <col min="6676" max="6912" width="9.140625" style="12"/>
    <col min="6913" max="6913" width="7.7109375" style="12" customWidth="1"/>
    <col min="6914" max="6914" width="24.7109375" style="12" customWidth="1"/>
    <col min="6915" max="6915" width="28.7109375" style="12" customWidth="1"/>
    <col min="6916" max="6921" width="9.7109375" style="12" customWidth="1"/>
    <col min="6922" max="6922" width="3" style="12" customWidth="1"/>
    <col min="6923" max="6923" width="15.85546875" style="12" customWidth="1"/>
    <col min="6924" max="6925" width="9.7109375" style="12" customWidth="1"/>
    <col min="6926" max="6927" width="7.7109375" style="12" customWidth="1"/>
    <col min="6928" max="6928" width="11.5703125" style="12" customWidth="1"/>
    <col min="6929" max="6929" width="11" style="12" customWidth="1"/>
    <col min="6930" max="6930" width="9.140625" style="12"/>
    <col min="6931" max="6931" width="6.7109375" style="12" customWidth="1"/>
    <col min="6932" max="7168" width="9.140625" style="12"/>
    <col min="7169" max="7169" width="7.7109375" style="12" customWidth="1"/>
    <col min="7170" max="7170" width="24.7109375" style="12" customWidth="1"/>
    <col min="7171" max="7171" width="28.7109375" style="12" customWidth="1"/>
    <col min="7172" max="7177" width="9.7109375" style="12" customWidth="1"/>
    <col min="7178" max="7178" width="3" style="12" customWidth="1"/>
    <col min="7179" max="7179" width="15.85546875" style="12" customWidth="1"/>
    <col min="7180" max="7181" width="9.7109375" style="12" customWidth="1"/>
    <col min="7182" max="7183" width="7.7109375" style="12" customWidth="1"/>
    <col min="7184" max="7184" width="11.5703125" style="12" customWidth="1"/>
    <col min="7185" max="7185" width="11" style="12" customWidth="1"/>
    <col min="7186" max="7186" width="9.140625" style="12"/>
    <col min="7187" max="7187" width="6.7109375" style="12" customWidth="1"/>
    <col min="7188" max="7424" width="9.140625" style="12"/>
    <col min="7425" max="7425" width="7.7109375" style="12" customWidth="1"/>
    <col min="7426" max="7426" width="24.7109375" style="12" customWidth="1"/>
    <col min="7427" max="7427" width="28.7109375" style="12" customWidth="1"/>
    <col min="7428" max="7433" width="9.7109375" style="12" customWidth="1"/>
    <col min="7434" max="7434" width="3" style="12" customWidth="1"/>
    <col min="7435" max="7435" width="15.85546875" style="12" customWidth="1"/>
    <col min="7436" max="7437" width="9.7109375" style="12" customWidth="1"/>
    <col min="7438" max="7439" width="7.7109375" style="12" customWidth="1"/>
    <col min="7440" max="7440" width="11.5703125" style="12" customWidth="1"/>
    <col min="7441" max="7441" width="11" style="12" customWidth="1"/>
    <col min="7442" max="7442" width="9.140625" style="12"/>
    <col min="7443" max="7443" width="6.7109375" style="12" customWidth="1"/>
    <col min="7444" max="7680" width="9.140625" style="12"/>
    <col min="7681" max="7681" width="7.7109375" style="12" customWidth="1"/>
    <col min="7682" max="7682" width="24.7109375" style="12" customWidth="1"/>
    <col min="7683" max="7683" width="28.7109375" style="12" customWidth="1"/>
    <col min="7684" max="7689" width="9.7109375" style="12" customWidth="1"/>
    <col min="7690" max="7690" width="3" style="12" customWidth="1"/>
    <col min="7691" max="7691" width="15.85546875" style="12" customWidth="1"/>
    <col min="7692" max="7693" width="9.7109375" style="12" customWidth="1"/>
    <col min="7694" max="7695" width="7.7109375" style="12" customWidth="1"/>
    <col min="7696" max="7696" width="11.5703125" style="12" customWidth="1"/>
    <col min="7697" max="7697" width="11" style="12" customWidth="1"/>
    <col min="7698" max="7698" width="9.140625" style="12"/>
    <col min="7699" max="7699" width="6.7109375" style="12" customWidth="1"/>
    <col min="7700" max="7936" width="9.140625" style="12"/>
    <col min="7937" max="7937" width="7.7109375" style="12" customWidth="1"/>
    <col min="7938" max="7938" width="24.7109375" style="12" customWidth="1"/>
    <col min="7939" max="7939" width="28.7109375" style="12" customWidth="1"/>
    <col min="7940" max="7945" width="9.7109375" style="12" customWidth="1"/>
    <col min="7946" max="7946" width="3" style="12" customWidth="1"/>
    <col min="7947" max="7947" width="15.85546875" style="12" customWidth="1"/>
    <col min="7948" max="7949" width="9.7109375" style="12" customWidth="1"/>
    <col min="7950" max="7951" width="7.7109375" style="12" customWidth="1"/>
    <col min="7952" max="7952" width="11.5703125" style="12" customWidth="1"/>
    <col min="7953" max="7953" width="11" style="12" customWidth="1"/>
    <col min="7954" max="7954" width="9.140625" style="12"/>
    <col min="7955" max="7955" width="6.7109375" style="12" customWidth="1"/>
    <col min="7956" max="8192" width="9.140625" style="12"/>
    <col min="8193" max="8193" width="7.7109375" style="12" customWidth="1"/>
    <col min="8194" max="8194" width="24.7109375" style="12" customWidth="1"/>
    <col min="8195" max="8195" width="28.7109375" style="12" customWidth="1"/>
    <col min="8196" max="8201" width="9.7109375" style="12" customWidth="1"/>
    <col min="8202" max="8202" width="3" style="12" customWidth="1"/>
    <col min="8203" max="8203" width="15.85546875" style="12" customWidth="1"/>
    <col min="8204" max="8205" width="9.7109375" style="12" customWidth="1"/>
    <col min="8206" max="8207" width="7.7109375" style="12" customWidth="1"/>
    <col min="8208" max="8208" width="11.5703125" style="12" customWidth="1"/>
    <col min="8209" max="8209" width="11" style="12" customWidth="1"/>
    <col min="8210" max="8210" width="9.140625" style="12"/>
    <col min="8211" max="8211" width="6.7109375" style="12" customWidth="1"/>
    <col min="8212" max="8448" width="9.140625" style="12"/>
    <col min="8449" max="8449" width="7.7109375" style="12" customWidth="1"/>
    <col min="8450" max="8450" width="24.7109375" style="12" customWidth="1"/>
    <col min="8451" max="8451" width="28.7109375" style="12" customWidth="1"/>
    <col min="8452" max="8457" width="9.7109375" style="12" customWidth="1"/>
    <col min="8458" max="8458" width="3" style="12" customWidth="1"/>
    <col min="8459" max="8459" width="15.85546875" style="12" customWidth="1"/>
    <col min="8460" max="8461" width="9.7109375" style="12" customWidth="1"/>
    <col min="8462" max="8463" width="7.7109375" style="12" customWidth="1"/>
    <col min="8464" max="8464" width="11.5703125" style="12" customWidth="1"/>
    <col min="8465" max="8465" width="11" style="12" customWidth="1"/>
    <col min="8466" max="8466" width="9.140625" style="12"/>
    <col min="8467" max="8467" width="6.7109375" style="12" customWidth="1"/>
    <col min="8468" max="8704" width="9.140625" style="12"/>
    <col min="8705" max="8705" width="7.7109375" style="12" customWidth="1"/>
    <col min="8706" max="8706" width="24.7109375" style="12" customWidth="1"/>
    <col min="8707" max="8707" width="28.7109375" style="12" customWidth="1"/>
    <col min="8708" max="8713" width="9.7109375" style="12" customWidth="1"/>
    <col min="8714" max="8714" width="3" style="12" customWidth="1"/>
    <col min="8715" max="8715" width="15.85546875" style="12" customWidth="1"/>
    <col min="8716" max="8717" width="9.7109375" style="12" customWidth="1"/>
    <col min="8718" max="8719" width="7.7109375" style="12" customWidth="1"/>
    <col min="8720" max="8720" width="11.5703125" style="12" customWidth="1"/>
    <col min="8721" max="8721" width="11" style="12" customWidth="1"/>
    <col min="8722" max="8722" width="9.140625" style="12"/>
    <col min="8723" max="8723" width="6.7109375" style="12" customWidth="1"/>
    <col min="8724" max="8960" width="9.140625" style="12"/>
    <col min="8961" max="8961" width="7.7109375" style="12" customWidth="1"/>
    <col min="8962" max="8962" width="24.7109375" style="12" customWidth="1"/>
    <col min="8963" max="8963" width="28.7109375" style="12" customWidth="1"/>
    <col min="8964" max="8969" width="9.7109375" style="12" customWidth="1"/>
    <col min="8970" max="8970" width="3" style="12" customWidth="1"/>
    <col min="8971" max="8971" width="15.85546875" style="12" customWidth="1"/>
    <col min="8972" max="8973" width="9.7109375" style="12" customWidth="1"/>
    <col min="8974" max="8975" width="7.7109375" style="12" customWidth="1"/>
    <col min="8976" max="8976" width="11.5703125" style="12" customWidth="1"/>
    <col min="8977" max="8977" width="11" style="12" customWidth="1"/>
    <col min="8978" max="8978" width="9.140625" style="12"/>
    <col min="8979" max="8979" width="6.7109375" style="12" customWidth="1"/>
    <col min="8980" max="9216" width="9.140625" style="12"/>
    <col min="9217" max="9217" width="7.7109375" style="12" customWidth="1"/>
    <col min="9218" max="9218" width="24.7109375" style="12" customWidth="1"/>
    <col min="9219" max="9219" width="28.7109375" style="12" customWidth="1"/>
    <col min="9220" max="9225" width="9.7109375" style="12" customWidth="1"/>
    <col min="9226" max="9226" width="3" style="12" customWidth="1"/>
    <col min="9227" max="9227" width="15.85546875" style="12" customWidth="1"/>
    <col min="9228" max="9229" width="9.7109375" style="12" customWidth="1"/>
    <col min="9230" max="9231" width="7.7109375" style="12" customWidth="1"/>
    <col min="9232" max="9232" width="11.5703125" style="12" customWidth="1"/>
    <col min="9233" max="9233" width="11" style="12" customWidth="1"/>
    <col min="9234" max="9234" width="9.140625" style="12"/>
    <col min="9235" max="9235" width="6.7109375" style="12" customWidth="1"/>
    <col min="9236" max="9472" width="9.140625" style="12"/>
    <col min="9473" max="9473" width="7.7109375" style="12" customWidth="1"/>
    <col min="9474" max="9474" width="24.7109375" style="12" customWidth="1"/>
    <col min="9475" max="9475" width="28.7109375" style="12" customWidth="1"/>
    <col min="9476" max="9481" width="9.7109375" style="12" customWidth="1"/>
    <col min="9482" max="9482" width="3" style="12" customWidth="1"/>
    <col min="9483" max="9483" width="15.85546875" style="12" customWidth="1"/>
    <col min="9484" max="9485" width="9.7109375" style="12" customWidth="1"/>
    <col min="9486" max="9487" width="7.7109375" style="12" customWidth="1"/>
    <col min="9488" max="9488" width="11.5703125" style="12" customWidth="1"/>
    <col min="9489" max="9489" width="11" style="12" customWidth="1"/>
    <col min="9490" max="9490" width="9.140625" style="12"/>
    <col min="9491" max="9491" width="6.7109375" style="12" customWidth="1"/>
    <col min="9492" max="9728" width="9.140625" style="12"/>
    <col min="9729" max="9729" width="7.7109375" style="12" customWidth="1"/>
    <col min="9730" max="9730" width="24.7109375" style="12" customWidth="1"/>
    <col min="9731" max="9731" width="28.7109375" style="12" customWidth="1"/>
    <col min="9732" max="9737" width="9.7109375" style="12" customWidth="1"/>
    <col min="9738" max="9738" width="3" style="12" customWidth="1"/>
    <col min="9739" max="9739" width="15.85546875" style="12" customWidth="1"/>
    <col min="9740" max="9741" width="9.7109375" style="12" customWidth="1"/>
    <col min="9742" max="9743" width="7.7109375" style="12" customWidth="1"/>
    <col min="9744" max="9744" width="11.5703125" style="12" customWidth="1"/>
    <col min="9745" max="9745" width="11" style="12" customWidth="1"/>
    <col min="9746" max="9746" width="9.140625" style="12"/>
    <col min="9747" max="9747" width="6.7109375" style="12" customWidth="1"/>
    <col min="9748" max="9984" width="9.140625" style="12"/>
    <col min="9985" max="9985" width="7.7109375" style="12" customWidth="1"/>
    <col min="9986" max="9986" width="24.7109375" style="12" customWidth="1"/>
    <col min="9987" max="9987" width="28.7109375" style="12" customWidth="1"/>
    <col min="9988" max="9993" width="9.7109375" style="12" customWidth="1"/>
    <col min="9994" max="9994" width="3" style="12" customWidth="1"/>
    <col min="9995" max="9995" width="15.85546875" style="12" customWidth="1"/>
    <col min="9996" max="9997" width="9.7109375" style="12" customWidth="1"/>
    <col min="9998" max="9999" width="7.7109375" style="12" customWidth="1"/>
    <col min="10000" max="10000" width="11.5703125" style="12" customWidth="1"/>
    <col min="10001" max="10001" width="11" style="12" customWidth="1"/>
    <col min="10002" max="10002" width="9.140625" style="12"/>
    <col min="10003" max="10003" width="6.7109375" style="12" customWidth="1"/>
    <col min="10004" max="10240" width="9.140625" style="12"/>
    <col min="10241" max="10241" width="7.7109375" style="12" customWidth="1"/>
    <col min="10242" max="10242" width="24.7109375" style="12" customWidth="1"/>
    <col min="10243" max="10243" width="28.7109375" style="12" customWidth="1"/>
    <col min="10244" max="10249" width="9.7109375" style="12" customWidth="1"/>
    <col min="10250" max="10250" width="3" style="12" customWidth="1"/>
    <col min="10251" max="10251" width="15.85546875" style="12" customWidth="1"/>
    <col min="10252" max="10253" width="9.7109375" style="12" customWidth="1"/>
    <col min="10254" max="10255" width="7.7109375" style="12" customWidth="1"/>
    <col min="10256" max="10256" width="11.5703125" style="12" customWidth="1"/>
    <col min="10257" max="10257" width="11" style="12" customWidth="1"/>
    <col min="10258" max="10258" width="9.140625" style="12"/>
    <col min="10259" max="10259" width="6.7109375" style="12" customWidth="1"/>
    <col min="10260" max="10496" width="9.140625" style="12"/>
    <col min="10497" max="10497" width="7.7109375" style="12" customWidth="1"/>
    <col min="10498" max="10498" width="24.7109375" style="12" customWidth="1"/>
    <col min="10499" max="10499" width="28.7109375" style="12" customWidth="1"/>
    <col min="10500" max="10505" width="9.7109375" style="12" customWidth="1"/>
    <col min="10506" max="10506" width="3" style="12" customWidth="1"/>
    <col min="10507" max="10507" width="15.85546875" style="12" customWidth="1"/>
    <col min="10508" max="10509" width="9.7109375" style="12" customWidth="1"/>
    <col min="10510" max="10511" width="7.7109375" style="12" customWidth="1"/>
    <col min="10512" max="10512" width="11.5703125" style="12" customWidth="1"/>
    <col min="10513" max="10513" width="11" style="12" customWidth="1"/>
    <col min="10514" max="10514" width="9.140625" style="12"/>
    <col min="10515" max="10515" width="6.7109375" style="12" customWidth="1"/>
    <col min="10516" max="10752" width="9.140625" style="12"/>
    <col min="10753" max="10753" width="7.7109375" style="12" customWidth="1"/>
    <col min="10754" max="10754" width="24.7109375" style="12" customWidth="1"/>
    <col min="10755" max="10755" width="28.7109375" style="12" customWidth="1"/>
    <col min="10756" max="10761" width="9.7109375" style="12" customWidth="1"/>
    <col min="10762" max="10762" width="3" style="12" customWidth="1"/>
    <col min="10763" max="10763" width="15.85546875" style="12" customWidth="1"/>
    <col min="10764" max="10765" width="9.7109375" style="12" customWidth="1"/>
    <col min="10766" max="10767" width="7.7109375" style="12" customWidth="1"/>
    <col min="10768" max="10768" width="11.5703125" style="12" customWidth="1"/>
    <col min="10769" max="10769" width="11" style="12" customWidth="1"/>
    <col min="10770" max="10770" width="9.140625" style="12"/>
    <col min="10771" max="10771" width="6.7109375" style="12" customWidth="1"/>
    <col min="10772" max="11008" width="9.140625" style="12"/>
    <col min="11009" max="11009" width="7.7109375" style="12" customWidth="1"/>
    <col min="11010" max="11010" width="24.7109375" style="12" customWidth="1"/>
    <col min="11011" max="11011" width="28.7109375" style="12" customWidth="1"/>
    <col min="11012" max="11017" width="9.7109375" style="12" customWidth="1"/>
    <col min="11018" max="11018" width="3" style="12" customWidth="1"/>
    <col min="11019" max="11019" width="15.85546875" style="12" customWidth="1"/>
    <col min="11020" max="11021" width="9.7109375" style="12" customWidth="1"/>
    <col min="11022" max="11023" width="7.7109375" style="12" customWidth="1"/>
    <col min="11024" max="11024" width="11.5703125" style="12" customWidth="1"/>
    <col min="11025" max="11025" width="11" style="12" customWidth="1"/>
    <col min="11026" max="11026" width="9.140625" style="12"/>
    <col min="11027" max="11027" width="6.7109375" style="12" customWidth="1"/>
    <col min="11028" max="11264" width="9.140625" style="12"/>
    <col min="11265" max="11265" width="7.7109375" style="12" customWidth="1"/>
    <col min="11266" max="11266" width="24.7109375" style="12" customWidth="1"/>
    <col min="11267" max="11267" width="28.7109375" style="12" customWidth="1"/>
    <col min="11268" max="11273" width="9.7109375" style="12" customWidth="1"/>
    <col min="11274" max="11274" width="3" style="12" customWidth="1"/>
    <col min="11275" max="11275" width="15.85546875" style="12" customWidth="1"/>
    <col min="11276" max="11277" width="9.7109375" style="12" customWidth="1"/>
    <col min="11278" max="11279" width="7.7109375" style="12" customWidth="1"/>
    <col min="11280" max="11280" width="11.5703125" style="12" customWidth="1"/>
    <col min="11281" max="11281" width="11" style="12" customWidth="1"/>
    <col min="11282" max="11282" width="9.140625" style="12"/>
    <col min="11283" max="11283" width="6.7109375" style="12" customWidth="1"/>
    <col min="11284" max="11520" width="9.140625" style="12"/>
    <col min="11521" max="11521" width="7.7109375" style="12" customWidth="1"/>
    <col min="11522" max="11522" width="24.7109375" style="12" customWidth="1"/>
    <col min="11523" max="11523" width="28.7109375" style="12" customWidth="1"/>
    <col min="11524" max="11529" width="9.7109375" style="12" customWidth="1"/>
    <col min="11530" max="11530" width="3" style="12" customWidth="1"/>
    <col min="11531" max="11531" width="15.85546875" style="12" customWidth="1"/>
    <col min="11532" max="11533" width="9.7109375" style="12" customWidth="1"/>
    <col min="11534" max="11535" width="7.7109375" style="12" customWidth="1"/>
    <col min="11536" max="11536" width="11.5703125" style="12" customWidth="1"/>
    <col min="11537" max="11537" width="11" style="12" customWidth="1"/>
    <col min="11538" max="11538" width="9.140625" style="12"/>
    <col min="11539" max="11539" width="6.7109375" style="12" customWidth="1"/>
    <col min="11540" max="11776" width="9.140625" style="12"/>
    <col min="11777" max="11777" width="7.7109375" style="12" customWidth="1"/>
    <col min="11778" max="11778" width="24.7109375" style="12" customWidth="1"/>
    <col min="11779" max="11779" width="28.7109375" style="12" customWidth="1"/>
    <col min="11780" max="11785" width="9.7109375" style="12" customWidth="1"/>
    <col min="11786" max="11786" width="3" style="12" customWidth="1"/>
    <col min="11787" max="11787" width="15.85546875" style="12" customWidth="1"/>
    <col min="11788" max="11789" width="9.7109375" style="12" customWidth="1"/>
    <col min="11790" max="11791" width="7.7109375" style="12" customWidth="1"/>
    <col min="11792" max="11792" width="11.5703125" style="12" customWidth="1"/>
    <col min="11793" max="11793" width="11" style="12" customWidth="1"/>
    <col min="11794" max="11794" width="9.140625" style="12"/>
    <col min="11795" max="11795" width="6.7109375" style="12" customWidth="1"/>
    <col min="11796" max="12032" width="9.140625" style="12"/>
    <col min="12033" max="12033" width="7.7109375" style="12" customWidth="1"/>
    <col min="12034" max="12034" width="24.7109375" style="12" customWidth="1"/>
    <col min="12035" max="12035" width="28.7109375" style="12" customWidth="1"/>
    <col min="12036" max="12041" width="9.7109375" style="12" customWidth="1"/>
    <col min="12042" max="12042" width="3" style="12" customWidth="1"/>
    <col min="12043" max="12043" width="15.85546875" style="12" customWidth="1"/>
    <col min="12044" max="12045" width="9.7109375" style="12" customWidth="1"/>
    <col min="12046" max="12047" width="7.7109375" style="12" customWidth="1"/>
    <col min="12048" max="12048" width="11.5703125" style="12" customWidth="1"/>
    <col min="12049" max="12049" width="11" style="12" customWidth="1"/>
    <col min="12050" max="12050" width="9.140625" style="12"/>
    <col min="12051" max="12051" width="6.7109375" style="12" customWidth="1"/>
    <col min="12052" max="12288" width="9.140625" style="12"/>
    <col min="12289" max="12289" width="7.7109375" style="12" customWidth="1"/>
    <col min="12290" max="12290" width="24.7109375" style="12" customWidth="1"/>
    <col min="12291" max="12291" width="28.7109375" style="12" customWidth="1"/>
    <col min="12292" max="12297" width="9.7109375" style="12" customWidth="1"/>
    <col min="12298" max="12298" width="3" style="12" customWidth="1"/>
    <col min="12299" max="12299" width="15.85546875" style="12" customWidth="1"/>
    <col min="12300" max="12301" width="9.7109375" style="12" customWidth="1"/>
    <col min="12302" max="12303" width="7.7109375" style="12" customWidth="1"/>
    <col min="12304" max="12304" width="11.5703125" style="12" customWidth="1"/>
    <col min="12305" max="12305" width="11" style="12" customWidth="1"/>
    <col min="12306" max="12306" width="9.140625" style="12"/>
    <col min="12307" max="12307" width="6.7109375" style="12" customWidth="1"/>
    <col min="12308" max="12544" width="9.140625" style="12"/>
    <col min="12545" max="12545" width="7.7109375" style="12" customWidth="1"/>
    <col min="12546" max="12546" width="24.7109375" style="12" customWidth="1"/>
    <col min="12547" max="12547" width="28.7109375" style="12" customWidth="1"/>
    <col min="12548" max="12553" width="9.7109375" style="12" customWidth="1"/>
    <col min="12554" max="12554" width="3" style="12" customWidth="1"/>
    <col min="12555" max="12555" width="15.85546875" style="12" customWidth="1"/>
    <col min="12556" max="12557" width="9.7109375" style="12" customWidth="1"/>
    <col min="12558" max="12559" width="7.7109375" style="12" customWidth="1"/>
    <col min="12560" max="12560" width="11.5703125" style="12" customWidth="1"/>
    <col min="12561" max="12561" width="11" style="12" customWidth="1"/>
    <col min="12562" max="12562" width="9.140625" style="12"/>
    <col min="12563" max="12563" width="6.7109375" style="12" customWidth="1"/>
    <col min="12564" max="12800" width="9.140625" style="12"/>
    <col min="12801" max="12801" width="7.7109375" style="12" customWidth="1"/>
    <col min="12802" max="12802" width="24.7109375" style="12" customWidth="1"/>
    <col min="12803" max="12803" width="28.7109375" style="12" customWidth="1"/>
    <col min="12804" max="12809" width="9.7109375" style="12" customWidth="1"/>
    <col min="12810" max="12810" width="3" style="12" customWidth="1"/>
    <col min="12811" max="12811" width="15.85546875" style="12" customWidth="1"/>
    <col min="12812" max="12813" width="9.7109375" style="12" customWidth="1"/>
    <col min="12814" max="12815" width="7.7109375" style="12" customWidth="1"/>
    <col min="12816" max="12816" width="11.5703125" style="12" customWidth="1"/>
    <col min="12817" max="12817" width="11" style="12" customWidth="1"/>
    <col min="12818" max="12818" width="9.140625" style="12"/>
    <col min="12819" max="12819" width="6.7109375" style="12" customWidth="1"/>
    <col min="12820" max="13056" width="9.140625" style="12"/>
    <col min="13057" max="13057" width="7.7109375" style="12" customWidth="1"/>
    <col min="13058" max="13058" width="24.7109375" style="12" customWidth="1"/>
    <col min="13059" max="13059" width="28.7109375" style="12" customWidth="1"/>
    <col min="13060" max="13065" width="9.7109375" style="12" customWidth="1"/>
    <col min="13066" max="13066" width="3" style="12" customWidth="1"/>
    <col min="13067" max="13067" width="15.85546875" style="12" customWidth="1"/>
    <col min="13068" max="13069" width="9.7109375" style="12" customWidth="1"/>
    <col min="13070" max="13071" width="7.7109375" style="12" customWidth="1"/>
    <col min="13072" max="13072" width="11.5703125" style="12" customWidth="1"/>
    <col min="13073" max="13073" width="11" style="12" customWidth="1"/>
    <col min="13074" max="13074" width="9.140625" style="12"/>
    <col min="13075" max="13075" width="6.7109375" style="12" customWidth="1"/>
    <col min="13076" max="13312" width="9.140625" style="12"/>
    <col min="13313" max="13313" width="7.7109375" style="12" customWidth="1"/>
    <col min="13314" max="13314" width="24.7109375" style="12" customWidth="1"/>
    <col min="13315" max="13315" width="28.7109375" style="12" customWidth="1"/>
    <col min="13316" max="13321" width="9.7109375" style="12" customWidth="1"/>
    <col min="13322" max="13322" width="3" style="12" customWidth="1"/>
    <col min="13323" max="13323" width="15.85546875" style="12" customWidth="1"/>
    <col min="13324" max="13325" width="9.7109375" style="12" customWidth="1"/>
    <col min="13326" max="13327" width="7.7109375" style="12" customWidth="1"/>
    <col min="13328" max="13328" width="11.5703125" style="12" customWidth="1"/>
    <col min="13329" max="13329" width="11" style="12" customWidth="1"/>
    <col min="13330" max="13330" width="9.140625" style="12"/>
    <col min="13331" max="13331" width="6.7109375" style="12" customWidth="1"/>
    <col min="13332" max="13568" width="9.140625" style="12"/>
    <col min="13569" max="13569" width="7.7109375" style="12" customWidth="1"/>
    <col min="13570" max="13570" width="24.7109375" style="12" customWidth="1"/>
    <col min="13571" max="13571" width="28.7109375" style="12" customWidth="1"/>
    <col min="13572" max="13577" width="9.7109375" style="12" customWidth="1"/>
    <col min="13578" max="13578" width="3" style="12" customWidth="1"/>
    <col min="13579" max="13579" width="15.85546875" style="12" customWidth="1"/>
    <col min="13580" max="13581" width="9.7109375" style="12" customWidth="1"/>
    <col min="13582" max="13583" width="7.7109375" style="12" customWidth="1"/>
    <col min="13584" max="13584" width="11.5703125" style="12" customWidth="1"/>
    <col min="13585" max="13585" width="11" style="12" customWidth="1"/>
    <col min="13586" max="13586" width="9.140625" style="12"/>
    <col min="13587" max="13587" width="6.7109375" style="12" customWidth="1"/>
    <col min="13588" max="13824" width="9.140625" style="12"/>
    <col min="13825" max="13825" width="7.7109375" style="12" customWidth="1"/>
    <col min="13826" max="13826" width="24.7109375" style="12" customWidth="1"/>
    <col min="13827" max="13827" width="28.7109375" style="12" customWidth="1"/>
    <col min="13828" max="13833" width="9.7109375" style="12" customWidth="1"/>
    <col min="13834" max="13834" width="3" style="12" customWidth="1"/>
    <col min="13835" max="13835" width="15.85546875" style="12" customWidth="1"/>
    <col min="13836" max="13837" width="9.7109375" style="12" customWidth="1"/>
    <col min="13838" max="13839" width="7.7109375" style="12" customWidth="1"/>
    <col min="13840" max="13840" width="11.5703125" style="12" customWidth="1"/>
    <col min="13841" max="13841" width="11" style="12" customWidth="1"/>
    <col min="13842" max="13842" width="9.140625" style="12"/>
    <col min="13843" max="13843" width="6.7109375" style="12" customWidth="1"/>
    <col min="13844" max="14080" width="9.140625" style="12"/>
    <col min="14081" max="14081" width="7.7109375" style="12" customWidth="1"/>
    <col min="14082" max="14082" width="24.7109375" style="12" customWidth="1"/>
    <col min="14083" max="14083" width="28.7109375" style="12" customWidth="1"/>
    <col min="14084" max="14089" width="9.7109375" style="12" customWidth="1"/>
    <col min="14090" max="14090" width="3" style="12" customWidth="1"/>
    <col min="14091" max="14091" width="15.85546875" style="12" customWidth="1"/>
    <col min="14092" max="14093" width="9.7109375" style="12" customWidth="1"/>
    <col min="14094" max="14095" width="7.7109375" style="12" customWidth="1"/>
    <col min="14096" max="14096" width="11.5703125" style="12" customWidth="1"/>
    <col min="14097" max="14097" width="11" style="12" customWidth="1"/>
    <col min="14098" max="14098" width="9.140625" style="12"/>
    <col min="14099" max="14099" width="6.7109375" style="12" customWidth="1"/>
    <col min="14100" max="14336" width="9.140625" style="12"/>
    <col min="14337" max="14337" width="7.7109375" style="12" customWidth="1"/>
    <col min="14338" max="14338" width="24.7109375" style="12" customWidth="1"/>
    <col min="14339" max="14339" width="28.7109375" style="12" customWidth="1"/>
    <col min="14340" max="14345" width="9.7109375" style="12" customWidth="1"/>
    <col min="14346" max="14346" width="3" style="12" customWidth="1"/>
    <col min="14347" max="14347" width="15.85546875" style="12" customWidth="1"/>
    <col min="14348" max="14349" width="9.7109375" style="12" customWidth="1"/>
    <col min="14350" max="14351" width="7.7109375" style="12" customWidth="1"/>
    <col min="14352" max="14352" width="11.5703125" style="12" customWidth="1"/>
    <col min="14353" max="14353" width="11" style="12" customWidth="1"/>
    <col min="14354" max="14354" width="9.140625" style="12"/>
    <col min="14355" max="14355" width="6.7109375" style="12" customWidth="1"/>
    <col min="14356" max="14592" width="9.140625" style="12"/>
    <col min="14593" max="14593" width="7.7109375" style="12" customWidth="1"/>
    <col min="14594" max="14594" width="24.7109375" style="12" customWidth="1"/>
    <col min="14595" max="14595" width="28.7109375" style="12" customWidth="1"/>
    <col min="14596" max="14601" width="9.7109375" style="12" customWidth="1"/>
    <col min="14602" max="14602" width="3" style="12" customWidth="1"/>
    <col min="14603" max="14603" width="15.85546875" style="12" customWidth="1"/>
    <col min="14604" max="14605" width="9.7109375" style="12" customWidth="1"/>
    <col min="14606" max="14607" width="7.7109375" style="12" customWidth="1"/>
    <col min="14608" max="14608" width="11.5703125" style="12" customWidth="1"/>
    <col min="14609" max="14609" width="11" style="12" customWidth="1"/>
    <col min="14610" max="14610" width="9.140625" style="12"/>
    <col min="14611" max="14611" width="6.7109375" style="12" customWidth="1"/>
    <col min="14612" max="14848" width="9.140625" style="12"/>
    <col min="14849" max="14849" width="7.7109375" style="12" customWidth="1"/>
    <col min="14850" max="14850" width="24.7109375" style="12" customWidth="1"/>
    <col min="14851" max="14851" width="28.7109375" style="12" customWidth="1"/>
    <col min="14852" max="14857" width="9.7109375" style="12" customWidth="1"/>
    <col min="14858" max="14858" width="3" style="12" customWidth="1"/>
    <col min="14859" max="14859" width="15.85546875" style="12" customWidth="1"/>
    <col min="14860" max="14861" width="9.7109375" style="12" customWidth="1"/>
    <col min="14862" max="14863" width="7.7109375" style="12" customWidth="1"/>
    <col min="14864" max="14864" width="11.5703125" style="12" customWidth="1"/>
    <col min="14865" max="14865" width="11" style="12" customWidth="1"/>
    <col min="14866" max="14866" width="9.140625" style="12"/>
    <col min="14867" max="14867" width="6.7109375" style="12" customWidth="1"/>
    <col min="14868" max="15104" width="9.140625" style="12"/>
    <col min="15105" max="15105" width="7.7109375" style="12" customWidth="1"/>
    <col min="15106" max="15106" width="24.7109375" style="12" customWidth="1"/>
    <col min="15107" max="15107" width="28.7109375" style="12" customWidth="1"/>
    <col min="15108" max="15113" width="9.7109375" style="12" customWidth="1"/>
    <col min="15114" max="15114" width="3" style="12" customWidth="1"/>
    <col min="15115" max="15115" width="15.85546875" style="12" customWidth="1"/>
    <col min="15116" max="15117" width="9.7109375" style="12" customWidth="1"/>
    <col min="15118" max="15119" width="7.7109375" style="12" customWidth="1"/>
    <col min="15120" max="15120" width="11.5703125" style="12" customWidth="1"/>
    <col min="15121" max="15121" width="11" style="12" customWidth="1"/>
    <col min="15122" max="15122" width="9.140625" style="12"/>
    <col min="15123" max="15123" width="6.7109375" style="12" customWidth="1"/>
    <col min="15124" max="15360" width="9.140625" style="12"/>
    <col min="15361" max="15361" width="7.7109375" style="12" customWidth="1"/>
    <col min="15362" max="15362" width="24.7109375" style="12" customWidth="1"/>
    <col min="15363" max="15363" width="28.7109375" style="12" customWidth="1"/>
    <col min="15364" max="15369" width="9.7109375" style="12" customWidth="1"/>
    <col min="15370" max="15370" width="3" style="12" customWidth="1"/>
    <col min="15371" max="15371" width="15.85546875" style="12" customWidth="1"/>
    <col min="15372" max="15373" width="9.7109375" style="12" customWidth="1"/>
    <col min="15374" max="15375" width="7.7109375" style="12" customWidth="1"/>
    <col min="15376" max="15376" width="11.5703125" style="12" customWidth="1"/>
    <col min="15377" max="15377" width="11" style="12" customWidth="1"/>
    <col min="15378" max="15378" width="9.140625" style="12"/>
    <col min="15379" max="15379" width="6.7109375" style="12" customWidth="1"/>
    <col min="15380" max="15616" width="9.140625" style="12"/>
    <col min="15617" max="15617" width="7.7109375" style="12" customWidth="1"/>
    <col min="15618" max="15618" width="24.7109375" style="12" customWidth="1"/>
    <col min="15619" max="15619" width="28.7109375" style="12" customWidth="1"/>
    <col min="15620" max="15625" width="9.7109375" style="12" customWidth="1"/>
    <col min="15626" max="15626" width="3" style="12" customWidth="1"/>
    <col min="15627" max="15627" width="15.85546875" style="12" customWidth="1"/>
    <col min="15628" max="15629" width="9.7109375" style="12" customWidth="1"/>
    <col min="15630" max="15631" width="7.7109375" style="12" customWidth="1"/>
    <col min="15632" max="15632" width="11.5703125" style="12" customWidth="1"/>
    <col min="15633" max="15633" width="11" style="12" customWidth="1"/>
    <col min="15634" max="15634" width="9.140625" style="12"/>
    <col min="15635" max="15635" width="6.7109375" style="12" customWidth="1"/>
    <col min="15636" max="15872" width="9.140625" style="12"/>
    <col min="15873" max="15873" width="7.7109375" style="12" customWidth="1"/>
    <col min="15874" max="15874" width="24.7109375" style="12" customWidth="1"/>
    <col min="15875" max="15875" width="28.7109375" style="12" customWidth="1"/>
    <col min="15876" max="15881" width="9.7109375" style="12" customWidth="1"/>
    <col min="15882" max="15882" width="3" style="12" customWidth="1"/>
    <col min="15883" max="15883" width="15.85546875" style="12" customWidth="1"/>
    <col min="15884" max="15885" width="9.7109375" style="12" customWidth="1"/>
    <col min="15886" max="15887" width="7.7109375" style="12" customWidth="1"/>
    <col min="15888" max="15888" width="11.5703125" style="12" customWidth="1"/>
    <col min="15889" max="15889" width="11" style="12" customWidth="1"/>
    <col min="15890" max="15890" width="9.140625" style="12"/>
    <col min="15891" max="15891" width="6.7109375" style="12" customWidth="1"/>
    <col min="15892" max="16128" width="9.140625" style="12"/>
    <col min="16129" max="16129" width="7.7109375" style="12" customWidth="1"/>
    <col min="16130" max="16130" width="24.7109375" style="12" customWidth="1"/>
    <col min="16131" max="16131" width="28.7109375" style="12" customWidth="1"/>
    <col min="16132" max="16137" width="9.7109375" style="12" customWidth="1"/>
    <col min="16138" max="16138" width="3" style="12" customWidth="1"/>
    <col min="16139" max="16139" width="15.85546875" style="12" customWidth="1"/>
    <col min="16140" max="16141" width="9.7109375" style="12" customWidth="1"/>
    <col min="16142" max="16143" width="7.7109375" style="12" customWidth="1"/>
    <col min="16144" max="16144" width="11.5703125" style="12" customWidth="1"/>
    <col min="16145" max="16145" width="11" style="12" customWidth="1"/>
    <col min="16146" max="16146" width="9.140625" style="12"/>
    <col min="16147" max="16147" width="6.7109375" style="12" customWidth="1"/>
    <col min="16148" max="16384" width="9.140625" style="12"/>
  </cols>
  <sheetData>
    <row r="1" spans="1:20" outlineLevel="1" x14ac:dyDescent="0.2">
      <c r="A1" s="11" t="s">
        <v>10</v>
      </c>
    </row>
    <row r="2" spans="1:20" ht="83.25" customHeight="1" x14ac:dyDescent="0.2">
      <c r="A2" s="13" t="s">
        <v>11</v>
      </c>
      <c r="B2" s="14" t="s">
        <v>12</v>
      </c>
      <c r="C2" s="14" t="s">
        <v>13</v>
      </c>
      <c r="D2" s="13" t="s">
        <v>14</v>
      </c>
      <c r="E2" s="14" t="str">
        <f>"КД 
(r="&amp;TEXT($L$3,"0,00")&amp;")"</f>
        <v>КД 
(r=0,20)</v>
      </c>
      <c r="F2" s="14" t="s">
        <v>15</v>
      </c>
      <c r="G2" s="13" t="s">
        <v>16</v>
      </c>
      <c r="H2" s="13" t="s">
        <v>16</v>
      </c>
      <c r="K2" s="15"/>
      <c r="L2" s="11">
        <v>0.13</v>
      </c>
      <c r="M2" s="16"/>
    </row>
    <row r="3" spans="1:20" x14ac:dyDescent="0.2">
      <c r="A3" s="17">
        <v>1</v>
      </c>
      <c r="B3" s="33">
        <f>Лист4!E17</f>
        <v>114.4</v>
      </c>
      <c r="C3" s="34">
        <f>Лист4!E18</f>
        <v>1756.7</v>
      </c>
      <c r="D3" s="35">
        <f>C3-B3</f>
        <v>1642.3</v>
      </c>
      <c r="E3" s="35">
        <f>1/((1+$L$3)^A3)</f>
        <v>0.83333333333333337</v>
      </c>
      <c r="F3" s="35">
        <f>E3*D3</f>
        <v>1368.5833333333333</v>
      </c>
      <c r="G3" s="34">
        <f>F3</f>
        <v>1368.5833333333333</v>
      </c>
      <c r="H3" s="34">
        <v>3740.53</v>
      </c>
      <c r="I3" s="12">
        <f t="shared" ref="I3:I22" si="0">IF(G3&gt;0,1,0)</f>
        <v>1</v>
      </c>
      <c r="K3" s="21"/>
      <c r="L3" s="11">
        <v>0.2</v>
      </c>
      <c r="M3" s="16"/>
      <c r="N3" s="12">
        <v>0.13</v>
      </c>
    </row>
    <row r="4" spans="1:20" x14ac:dyDescent="0.2">
      <c r="A4" s="22">
        <v>2</v>
      </c>
      <c r="B4" s="18">
        <v>0</v>
      </c>
      <c r="C4" s="134">
        <f>C3*(1+$L$2)</f>
        <v>1985.0709999999999</v>
      </c>
      <c r="D4" s="35">
        <f>C4-B4</f>
        <v>1985.0709999999999</v>
      </c>
      <c r="E4" s="35">
        <f>1/((1+$L$3)^A4)</f>
        <v>0.69444444444444442</v>
      </c>
      <c r="F4" s="35">
        <f>E4*D4</f>
        <v>1378.5215277777777</v>
      </c>
      <c r="G4" s="34">
        <f>G3+F4</f>
        <v>2747.1048611111109</v>
      </c>
      <c r="H4" s="34">
        <f>H3+3740.53</f>
        <v>7481.06</v>
      </c>
      <c r="I4" s="12">
        <f t="shared" si="0"/>
        <v>1</v>
      </c>
      <c r="M4" s="23"/>
      <c r="N4" s="12">
        <v>0.2</v>
      </c>
    </row>
    <row r="5" spans="1:20" x14ac:dyDescent="0.2">
      <c r="A5" s="22">
        <v>3</v>
      </c>
      <c r="B5" s="18">
        <f t="shared" ref="B5:B22" si="1">B4*1.1</f>
        <v>0</v>
      </c>
      <c r="C5" s="134">
        <f>C4*(1+$L$2)</f>
        <v>2243.1302299999998</v>
      </c>
      <c r="D5" s="35">
        <f t="shared" ref="D5:D22" si="2">C5-B5</f>
        <v>2243.1302299999998</v>
      </c>
      <c r="E5" s="35">
        <f>1/((1+$L$3)^A5)</f>
        <v>0.57870370370370372</v>
      </c>
      <c r="F5" s="35">
        <f t="shared" ref="F5:F22" si="3">E5*D5</f>
        <v>1298.1077719907407</v>
      </c>
      <c r="G5" s="34">
        <f t="shared" ref="G5:G22" si="4">G4+F5</f>
        <v>4045.2126331018517</v>
      </c>
      <c r="H5" s="34">
        <f>H4+3740.53</f>
        <v>11221.59</v>
      </c>
      <c r="I5" s="12">
        <f t="shared" si="0"/>
        <v>1</v>
      </c>
    </row>
    <row r="6" spans="1:20" x14ac:dyDescent="0.2">
      <c r="A6" s="22">
        <v>4</v>
      </c>
      <c r="B6" s="18">
        <f t="shared" si="1"/>
        <v>0</v>
      </c>
      <c r="C6" s="134">
        <f t="shared" ref="C6:C22" si="5">C5*(1+$L$2)</f>
        <v>2534.7371598999994</v>
      </c>
      <c r="D6" s="35">
        <f t="shared" si="2"/>
        <v>2534.7371598999994</v>
      </c>
      <c r="E6" s="35">
        <f t="shared" ref="E6:E22" si="6">1/((1+$L$3)^A6)</f>
        <v>0.48225308641975312</v>
      </c>
      <c r="F6" s="35">
        <f>E6*D6</f>
        <v>1222.3848186246139</v>
      </c>
      <c r="G6" s="34">
        <f t="shared" si="4"/>
        <v>5267.5974517264658</v>
      </c>
      <c r="H6" s="34">
        <f t="shared" ref="H6:H12" si="7">H5+3740.53</f>
        <v>14962.12</v>
      </c>
      <c r="I6" s="12">
        <f t="shared" si="0"/>
        <v>1</v>
      </c>
      <c r="P6" s="16"/>
      <c r="R6" s="16"/>
      <c r="T6" s="16"/>
    </row>
    <row r="7" spans="1:20" x14ac:dyDescent="0.2">
      <c r="A7" s="22">
        <v>5</v>
      </c>
      <c r="B7" s="18">
        <f t="shared" si="1"/>
        <v>0</v>
      </c>
      <c r="C7" s="134">
        <f>C6*(1+$L$2)</f>
        <v>2864.2529906869991</v>
      </c>
      <c r="D7" s="35">
        <f t="shared" si="2"/>
        <v>2864.2529906869991</v>
      </c>
      <c r="E7" s="35">
        <f t="shared" si="6"/>
        <v>0.4018775720164609</v>
      </c>
      <c r="F7" s="35">
        <f t="shared" si="3"/>
        <v>1151.079037538178</v>
      </c>
      <c r="G7" s="34">
        <f t="shared" si="4"/>
        <v>6418.6764892646443</v>
      </c>
      <c r="H7" s="34">
        <f t="shared" si="7"/>
        <v>18702.650000000001</v>
      </c>
      <c r="I7" s="12">
        <f t="shared" si="0"/>
        <v>1</v>
      </c>
      <c r="P7" s="16"/>
      <c r="R7" s="16"/>
      <c r="T7" s="16"/>
    </row>
    <row r="8" spans="1:20" x14ac:dyDescent="0.2">
      <c r="A8" s="22">
        <v>6</v>
      </c>
      <c r="B8" s="18">
        <f t="shared" si="1"/>
        <v>0</v>
      </c>
      <c r="C8" s="134">
        <f t="shared" si="5"/>
        <v>3236.6058794763085</v>
      </c>
      <c r="D8" s="36">
        <f t="shared" si="2"/>
        <v>3236.6058794763085</v>
      </c>
      <c r="E8" s="36">
        <f t="shared" si="6"/>
        <v>0.33489797668038412</v>
      </c>
      <c r="F8" s="36">
        <f t="shared" si="3"/>
        <v>1083.932760348451</v>
      </c>
      <c r="G8" s="37">
        <f t="shared" si="4"/>
        <v>7502.609249613095</v>
      </c>
      <c r="H8" s="34">
        <f t="shared" si="7"/>
        <v>22443.18</v>
      </c>
      <c r="I8" s="12">
        <f t="shared" si="0"/>
        <v>1</v>
      </c>
      <c r="P8" s="16"/>
      <c r="R8" s="16"/>
      <c r="T8" s="16"/>
    </row>
    <row r="9" spans="1:20" x14ac:dyDescent="0.2">
      <c r="A9" s="22">
        <v>7</v>
      </c>
      <c r="B9" s="18">
        <f t="shared" si="1"/>
        <v>0</v>
      </c>
      <c r="C9" s="134">
        <f t="shared" si="5"/>
        <v>3657.3646438082283</v>
      </c>
      <c r="D9" s="36">
        <f t="shared" si="2"/>
        <v>3657.3646438082283</v>
      </c>
      <c r="E9" s="36">
        <f t="shared" si="6"/>
        <v>0.27908164723365342</v>
      </c>
      <c r="F9" s="36">
        <f t="shared" si="3"/>
        <v>1020.7033493281244</v>
      </c>
      <c r="G9" s="37">
        <f t="shared" si="4"/>
        <v>8523.3125989412201</v>
      </c>
      <c r="H9" s="34">
        <f t="shared" si="7"/>
        <v>26183.71</v>
      </c>
      <c r="I9" s="12">
        <f t="shared" si="0"/>
        <v>1</v>
      </c>
      <c r="P9" s="16"/>
      <c r="R9" s="16"/>
      <c r="T9" s="16"/>
    </row>
    <row r="10" spans="1:20" x14ac:dyDescent="0.2">
      <c r="A10" s="22">
        <v>8</v>
      </c>
      <c r="B10" s="18">
        <f t="shared" si="1"/>
        <v>0</v>
      </c>
      <c r="C10" s="134">
        <f t="shared" si="5"/>
        <v>4132.8220475032977</v>
      </c>
      <c r="D10" s="35">
        <f t="shared" si="2"/>
        <v>4132.8220475032977</v>
      </c>
      <c r="E10" s="35">
        <f t="shared" si="6"/>
        <v>0.23256803936137788</v>
      </c>
      <c r="F10" s="35">
        <f t="shared" si="3"/>
        <v>961.16232061731728</v>
      </c>
      <c r="G10" s="34">
        <f t="shared" si="4"/>
        <v>9484.4749195585373</v>
      </c>
      <c r="H10" s="34">
        <f t="shared" si="7"/>
        <v>29924.239999999998</v>
      </c>
      <c r="I10" s="12">
        <f t="shared" si="0"/>
        <v>1</v>
      </c>
      <c r="P10" s="16"/>
      <c r="R10" s="16"/>
      <c r="T10" s="16"/>
    </row>
    <row r="11" spans="1:20" x14ac:dyDescent="0.2">
      <c r="A11" s="22">
        <v>9</v>
      </c>
      <c r="B11" s="18">
        <f t="shared" si="1"/>
        <v>0</v>
      </c>
      <c r="C11" s="134">
        <f t="shared" si="5"/>
        <v>4670.0889136787255</v>
      </c>
      <c r="D11" s="35">
        <f t="shared" si="2"/>
        <v>4670.0889136787255</v>
      </c>
      <c r="E11" s="35">
        <f t="shared" si="6"/>
        <v>0.1938066994678149</v>
      </c>
      <c r="F11" s="35">
        <f t="shared" si="3"/>
        <v>905.09451858130694</v>
      </c>
      <c r="G11" s="34">
        <f t="shared" si="4"/>
        <v>10389.569438139844</v>
      </c>
      <c r="H11" s="34">
        <f t="shared" si="7"/>
        <v>33664.769999999997</v>
      </c>
      <c r="I11" s="12">
        <f t="shared" si="0"/>
        <v>1</v>
      </c>
      <c r="P11" s="16"/>
      <c r="R11" s="16"/>
      <c r="T11" s="16"/>
    </row>
    <row r="12" spans="1:20" x14ac:dyDescent="0.2">
      <c r="A12" s="22">
        <v>10</v>
      </c>
      <c r="B12" s="18">
        <f t="shared" si="1"/>
        <v>0</v>
      </c>
      <c r="C12" s="134">
        <f t="shared" si="5"/>
        <v>5277.2004724569597</v>
      </c>
      <c r="D12" s="36">
        <f t="shared" si="2"/>
        <v>5277.2004724569597</v>
      </c>
      <c r="E12" s="36">
        <f t="shared" si="6"/>
        <v>0.16150558288984573</v>
      </c>
      <c r="F12" s="36">
        <f t="shared" si="3"/>
        <v>852.29733833073055</v>
      </c>
      <c r="G12" s="37">
        <f t="shared" si="4"/>
        <v>11241.866776470575</v>
      </c>
      <c r="H12" s="34">
        <f t="shared" si="7"/>
        <v>37405.299999999996</v>
      </c>
      <c r="I12" s="12">
        <f t="shared" si="0"/>
        <v>1</v>
      </c>
      <c r="P12" s="16"/>
      <c r="R12" s="16"/>
      <c r="T12" s="16"/>
    </row>
    <row r="13" spans="1:20" x14ac:dyDescent="0.2">
      <c r="A13" s="22">
        <v>11</v>
      </c>
      <c r="B13" s="18">
        <f t="shared" si="1"/>
        <v>0</v>
      </c>
      <c r="C13" s="134">
        <f t="shared" si="5"/>
        <v>5963.2365338763639</v>
      </c>
      <c r="D13" s="36">
        <f t="shared" si="2"/>
        <v>5963.2365338763639</v>
      </c>
      <c r="E13" s="36">
        <f t="shared" si="6"/>
        <v>0.13458798574153813</v>
      </c>
      <c r="F13" s="36">
        <f t="shared" si="3"/>
        <v>802.57999359477128</v>
      </c>
      <c r="G13" s="37">
        <f t="shared" si="4"/>
        <v>12044.446770065346</v>
      </c>
      <c r="H13" s="37"/>
      <c r="I13" s="12">
        <f t="shared" si="0"/>
        <v>1</v>
      </c>
      <c r="P13" s="16"/>
      <c r="R13" s="16"/>
      <c r="T13" s="16"/>
    </row>
    <row r="14" spans="1:20" x14ac:dyDescent="0.2">
      <c r="A14" s="22">
        <v>12</v>
      </c>
      <c r="B14" s="18">
        <f t="shared" si="1"/>
        <v>0</v>
      </c>
      <c r="C14" s="134">
        <f t="shared" si="5"/>
        <v>6738.4572832802905</v>
      </c>
      <c r="D14" s="36">
        <f t="shared" si="2"/>
        <v>6738.4572832802905</v>
      </c>
      <c r="E14" s="36">
        <f t="shared" si="6"/>
        <v>0.11215665478461512</v>
      </c>
      <c r="F14" s="36">
        <f t="shared" si="3"/>
        <v>755.76282730174296</v>
      </c>
      <c r="G14" s="37">
        <f t="shared" si="4"/>
        <v>12800.209597367089</v>
      </c>
      <c r="H14" s="37"/>
      <c r="I14" s="12">
        <f t="shared" si="0"/>
        <v>1</v>
      </c>
      <c r="P14" s="16"/>
      <c r="R14" s="16"/>
      <c r="T14" s="16"/>
    </row>
    <row r="15" spans="1:20" x14ac:dyDescent="0.2">
      <c r="A15" s="22">
        <v>13</v>
      </c>
      <c r="B15" s="18">
        <f t="shared" si="1"/>
        <v>0</v>
      </c>
      <c r="C15" s="134">
        <f t="shared" si="5"/>
        <v>7614.4567301067273</v>
      </c>
      <c r="D15" s="36">
        <f t="shared" si="2"/>
        <v>7614.4567301067273</v>
      </c>
      <c r="E15" s="36">
        <f t="shared" si="6"/>
        <v>9.3463878987179255E-2</v>
      </c>
      <c r="F15" s="36">
        <f t="shared" si="3"/>
        <v>711.67666237580784</v>
      </c>
      <c r="G15" s="37">
        <f t="shared" si="4"/>
        <v>13511.886259742898</v>
      </c>
      <c r="H15" s="37"/>
      <c r="I15" s="12">
        <f t="shared" si="0"/>
        <v>1</v>
      </c>
      <c r="P15" s="16"/>
      <c r="R15" s="16"/>
      <c r="T15" s="16"/>
    </row>
    <row r="16" spans="1:20" x14ac:dyDescent="0.2">
      <c r="A16" s="22">
        <v>14</v>
      </c>
      <c r="B16" s="18">
        <f t="shared" si="1"/>
        <v>0</v>
      </c>
      <c r="C16" s="134">
        <f t="shared" si="5"/>
        <v>8604.3361050206004</v>
      </c>
      <c r="D16" s="36">
        <f t="shared" si="2"/>
        <v>8604.3361050206004</v>
      </c>
      <c r="E16" s="36">
        <f t="shared" si="6"/>
        <v>7.7886565822649384E-2</v>
      </c>
      <c r="F16" s="36">
        <f t="shared" si="3"/>
        <v>670.16219040388557</v>
      </c>
      <c r="G16" s="37">
        <f t="shared" si="4"/>
        <v>14182.048450146784</v>
      </c>
      <c r="H16" s="37"/>
      <c r="I16" s="12">
        <f t="shared" si="0"/>
        <v>1</v>
      </c>
    </row>
    <row r="17" spans="1:9" x14ac:dyDescent="0.2">
      <c r="A17" s="22">
        <v>15</v>
      </c>
      <c r="B17" s="18">
        <f t="shared" si="1"/>
        <v>0</v>
      </c>
      <c r="C17" s="134">
        <f t="shared" si="5"/>
        <v>9722.8997986732775</v>
      </c>
      <c r="D17" s="36">
        <f t="shared" si="2"/>
        <v>9722.8997986732775</v>
      </c>
      <c r="E17" s="36">
        <f t="shared" si="6"/>
        <v>6.4905471518874491E-2</v>
      </c>
      <c r="F17" s="36">
        <f t="shared" si="3"/>
        <v>631.06939596365896</v>
      </c>
      <c r="G17" s="37">
        <f t="shared" si="4"/>
        <v>14813.117846110443</v>
      </c>
      <c r="H17" s="37"/>
      <c r="I17" s="12">
        <f t="shared" si="0"/>
        <v>1</v>
      </c>
    </row>
    <row r="18" spans="1:9" x14ac:dyDescent="0.2">
      <c r="A18" s="22">
        <v>16</v>
      </c>
      <c r="B18" s="18">
        <f t="shared" si="1"/>
        <v>0</v>
      </c>
      <c r="C18" s="134">
        <f t="shared" si="5"/>
        <v>10986.876772500802</v>
      </c>
      <c r="D18" s="36">
        <f t="shared" si="2"/>
        <v>10986.876772500802</v>
      </c>
      <c r="E18" s="36">
        <f t="shared" si="6"/>
        <v>5.4087892932395409E-2</v>
      </c>
      <c r="F18" s="36">
        <f t="shared" si="3"/>
        <v>594.2570145324454</v>
      </c>
      <c r="G18" s="37">
        <f t="shared" si="4"/>
        <v>15407.374860642889</v>
      </c>
      <c r="H18" s="37"/>
      <c r="I18" s="12">
        <f t="shared" si="0"/>
        <v>1</v>
      </c>
    </row>
    <row r="19" spans="1:9" x14ac:dyDescent="0.2">
      <c r="A19" s="22">
        <v>17</v>
      </c>
      <c r="B19" s="18">
        <f t="shared" si="1"/>
        <v>0</v>
      </c>
      <c r="C19" s="134">
        <f t="shared" si="5"/>
        <v>12415.170752925906</v>
      </c>
      <c r="D19" s="36">
        <f t="shared" si="2"/>
        <v>12415.170752925906</v>
      </c>
      <c r="E19" s="36">
        <f t="shared" si="6"/>
        <v>4.5073244110329508E-2</v>
      </c>
      <c r="F19" s="36">
        <f t="shared" si="3"/>
        <v>559.59202201805272</v>
      </c>
      <c r="G19" s="37">
        <f t="shared" si="4"/>
        <v>15966.966882660941</v>
      </c>
      <c r="H19" s="37"/>
      <c r="I19" s="12">
        <f t="shared" si="0"/>
        <v>1</v>
      </c>
    </row>
    <row r="20" spans="1:9" x14ac:dyDescent="0.2">
      <c r="A20" s="22">
        <v>18</v>
      </c>
      <c r="B20" s="18">
        <f t="shared" si="1"/>
        <v>0</v>
      </c>
      <c r="C20" s="134">
        <f t="shared" si="5"/>
        <v>14029.142950806272</v>
      </c>
      <c r="D20" s="36">
        <f t="shared" si="2"/>
        <v>14029.142950806272</v>
      </c>
      <c r="E20" s="36">
        <f t="shared" si="6"/>
        <v>3.7561036758607926E-2</v>
      </c>
      <c r="F20" s="36">
        <f t="shared" si="3"/>
        <v>526.94915406699965</v>
      </c>
      <c r="G20" s="37">
        <f t="shared" si="4"/>
        <v>16493.91603672794</v>
      </c>
      <c r="H20" s="37"/>
      <c r="I20" s="12">
        <f t="shared" si="0"/>
        <v>1</v>
      </c>
    </row>
    <row r="21" spans="1:9" x14ac:dyDescent="0.2">
      <c r="A21" s="22">
        <v>19</v>
      </c>
      <c r="B21" s="18">
        <f t="shared" si="1"/>
        <v>0</v>
      </c>
      <c r="C21" s="134">
        <f t="shared" si="5"/>
        <v>15852.931534411086</v>
      </c>
      <c r="D21" s="36">
        <f t="shared" si="2"/>
        <v>15852.931534411086</v>
      </c>
      <c r="E21" s="36">
        <f t="shared" si="6"/>
        <v>3.1300863965506603E-2</v>
      </c>
      <c r="F21" s="36">
        <f t="shared" si="3"/>
        <v>496.21045341309127</v>
      </c>
      <c r="G21" s="37">
        <f t="shared" si="4"/>
        <v>16990.126490141032</v>
      </c>
      <c r="H21" s="37"/>
      <c r="I21" s="12">
        <f t="shared" si="0"/>
        <v>1</v>
      </c>
    </row>
    <row r="22" spans="1:9" x14ac:dyDescent="0.2">
      <c r="A22" s="22">
        <v>20</v>
      </c>
      <c r="B22" s="18">
        <f t="shared" si="1"/>
        <v>0</v>
      </c>
      <c r="C22" s="134">
        <f t="shared" si="5"/>
        <v>17913.812633884525</v>
      </c>
      <c r="D22" s="36">
        <f t="shared" si="2"/>
        <v>17913.812633884525</v>
      </c>
      <c r="E22" s="36">
        <f t="shared" si="6"/>
        <v>2.6084053304588836E-2</v>
      </c>
      <c r="F22" s="36">
        <f t="shared" si="3"/>
        <v>467.26484363066089</v>
      </c>
      <c r="G22" s="37">
        <f t="shared" si="4"/>
        <v>17457.391333771695</v>
      </c>
      <c r="H22" s="37"/>
      <c r="I22" s="12">
        <f t="shared" si="0"/>
        <v>1</v>
      </c>
    </row>
    <row r="23" spans="1:9" x14ac:dyDescent="0.2">
      <c r="A23" s="26"/>
      <c r="B23" s="26"/>
      <c r="C23" s="27"/>
      <c r="D23" s="27"/>
      <c r="E23" s="28"/>
      <c r="F23" s="27"/>
      <c r="G23" s="29"/>
      <c r="I23" s="11">
        <f>MATCH(1,I3:I22,0)</f>
        <v>1</v>
      </c>
    </row>
    <row r="24" spans="1:9" hidden="1" x14ac:dyDescent="0.2">
      <c r="A24" s="11" t="s">
        <v>17</v>
      </c>
    </row>
    <row r="25" spans="1:9" ht="25.5" hidden="1" x14ac:dyDescent="0.2">
      <c r="A25" s="13" t="s">
        <v>18</v>
      </c>
      <c r="B25" s="13" t="s">
        <v>19</v>
      </c>
      <c r="C25" s="13" t="s">
        <v>20</v>
      </c>
      <c r="D25" s="13" t="s">
        <v>14</v>
      </c>
      <c r="E25" s="14" t="str">
        <f>"КД 
(r="&amp;TEXT($L$2,"0,00")&amp;")"</f>
        <v>КД 
(r=0,13)</v>
      </c>
      <c r="F25" s="14" t="s">
        <v>15</v>
      </c>
      <c r="G25" s="13" t="s">
        <v>16</v>
      </c>
    </row>
    <row r="26" spans="1:9" hidden="1" x14ac:dyDescent="0.2">
      <c r="A26" s="22">
        <v>1</v>
      </c>
      <c r="B26" s="18">
        <f>B3</f>
        <v>114.4</v>
      </c>
      <c r="C26" s="19">
        <f t="shared" ref="C26:C37" si="8">($C$3)/12-H26</f>
        <v>146.39166666666668</v>
      </c>
      <c r="D26" s="19">
        <f t="shared" ref="D26:D37" si="9">C26-B26</f>
        <v>31.991666666666674</v>
      </c>
      <c r="E26" s="20">
        <f t="shared" ref="E26:E37" si="10">1/((1+$L$3)^(A26/12))</f>
        <v>0.98492137526088874</v>
      </c>
      <c r="F26" s="19">
        <f t="shared" ref="F26:F37" si="11">E26*D26</f>
        <v>31.509276330221272</v>
      </c>
      <c r="G26" s="18">
        <f>F26</f>
        <v>31.509276330221272</v>
      </c>
      <c r="H26" s="30"/>
      <c r="I26" s="12">
        <f t="shared" ref="I26:I37" si="12">IF(G26&gt;0,1,0)</f>
        <v>1</v>
      </c>
    </row>
    <row r="27" spans="1:9" hidden="1" x14ac:dyDescent="0.2">
      <c r="A27" s="22">
        <v>2</v>
      </c>
      <c r="B27" s="19"/>
      <c r="C27" s="19">
        <f t="shared" si="8"/>
        <v>146.39166666666668</v>
      </c>
      <c r="D27" s="19">
        <f t="shared" si="9"/>
        <v>146.39166666666668</v>
      </c>
      <c r="E27" s="20">
        <f t="shared" si="10"/>
        <v>0.97007011544580046</v>
      </c>
      <c r="F27" s="19">
        <f t="shared" si="11"/>
        <v>142.01018098363647</v>
      </c>
      <c r="G27" s="18">
        <f t="shared" ref="G27:G37" si="13">G26+F27</f>
        <v>173.51945731385774</v>
      </c>
      <c r="H27" s="30"/>
      <c r="I27" s="12">
        <f t="shared" si="12"/>
        <v>1</v>
      </c>
    </row>
    <row r="28" spans="1:9" hidden="1" x14ac:dyDescent="0.2">
      <c r="A28" s="22">
        <v>3</v>
      </c>
      <c r="B28" s="19"/>
      <c r="C28" s="19">
        <f t="shared" si="8"/>
        <v>146.39166666666668</v>
      </c>
      <c r="D28" s="19">
        <f t="shared" si="9"/>
        <v>146.39166666666668</v>
      </c>
      <c r="E28" s="20">
        <f t="shared" si="10"/>
        <v>0.95544279220436679</v>
      </c>
      <c r="F28" s="19">
        <f t="shared" si="11"/>
        <v>139.86886275545095</v>
      </c>
      <c r="G28" s="18">
        <f t="shared" si="13"/>
        <v>313.38832006930869</v>
      </c>
      <c r="H28" s="30"/>
      <c r="I28" s="12">
        <f t="shared" si="12"/>
        <v>1</v>
      </c>
    </row>
    <row r="29" spans="1:9" hidden="1" x14ac:dyDescent="0.2">
      <c r="A29" s="22">
        <v>4</v>
      </c>
      <c r="B29" s="31"/>
      <c r="C29" s="19">
        <f t="shared" si="8"/>
        <v>146.39166666666668</v>
      </c>
      <c r="D29" s="19">
        <f t="shared" si="9"/>
        <v>146.39166666666668</v>
      </c>
      <c r="E29" s="20">
        <f t="shared" si="10"/>
        <v>0.94103602888102844</v>
      </c>
      <c r="F29" s="19">
        <f t="shared" si="11"/>
        <v>137.75983266127523</v>
      </c>
      <c r="G29" s="18">
        <f t="shared" si="13"/>
        <v>451.14815273058389</v>
      </c>
      <c r="H29" s="30"/>
      <c r="I29" s="12">
        <f t="shared" si="12"/>
        <v>1</v>
      </c>
    </row>
    <row r="30" spans="1:9" hidden="1" x14ac:dyDescent="0.2">
      <c r="A30" s="22">
        <v>5</v>
      </c>
      <c r="B30" s="32"/>
      <c r="C30" s="24">
        <f t="shared" si="8"/>
        <v>146.39166666666668</v>
      </c>
      <c r="D30" s="24">
        <f t="shared" si="9"/>
        <v>146.39166666666668</v>
      </c>
      <c r="E30" s="25">
        <f t="shared" si="10"/>
        <v>0.926846499735548</v>
      </c>
      <c r="F30" s="24">
        <f t="shared" si="11"/>
        <v>135.68260384045311</v>
      </c>
      <c r="G30" s="18">
        <f t="shared" si="13"/>
        <v>586.830756571037</v>
      </c>
      <c r="H30" s="30"/>
      <c r="I30" s="12">
        <f t="shared" si="12"/>
        <v>1</v>
      </c>
    </row>
    <row r="31" spans="1:9" hidden="1" x14ac:dyDescent="0.2">
      <c r="A31" s="22">
        <v>6</v>
      </c>
      <c r="B31" s="32"/>
      <c r="C31" s="19">
        <f t="shared" si="8"/>
        <v>146.39166666666668</v>
      </c>
      <c r="D31" s="24">
        <f t="shared" si="9"/>
        <v>146.39166666666668</v>
      </c>
      <c r="E31" s="20">
        <f t="shared" si="10"/>
        <v>0.9128709291752769</v>
      </c>
      <c r="F31" s="24">
        <f t="shared" si="11"/>
        <v>133.63669677351743</v>
      </c>
      <c r="G31" s="18">
        <f t="shared" si="13"/>
        <v>720.46745334455443</v>
      </c>
      <c r="H31" s="30"/>
      <c r="I31" s="12">
        <f t="shared" si="12"/>
        <v>1</v>
      </c>
    </row>
    <row r="32" spans="1:9" hidden="1" x14ac:dyDescent="0.2">
      <c r="A32" s="22">
        <v>7</v>
      </c>
      <c r="B32" s="32"/>
      <c r="C32" s="19">
        <f t="shared" si="8"/>
        <v>146.39166666666668</v>
      </c>
      <c r="D32" s="24">
        <f t="shared" si="9"/>
        <v>146.39166666666668</v>
      </c>
      <c r="E32" s="20">
        <f t="shared" si="10"/>
        <v>0.89910609099899896</v>
      </c>
      <c r="F32" s="24">
        <f t="shared" si="11"/>
        <v>131.62163917149513</v>
      </c>
      <c r="G32" s="18">
        <f t="shared" si="13"/>
        <v>852.0890925160495</v>
      </c>
      <c r="H32" s="30"/>
      <c r="I32" s="12">
        <f t="shared" si="12"/>
        <v>1</v>
      </c>
    </row>
    <row r="33" spans="1:9" hidden="1" x14ac:dyDescent="0.2">
      <c r="A33" s="22">
        <v>8</v>
      </c>
      <c r="B33" s="31"/>
      <c r="C33" s="19">
        <f t="shared" si="8"/>
        <v>146.39166666666668</v>
      </c>
      <c r="D33" s="19">
        <f t="shared" si="9"/>
        <v>146.39166666666668</v>
      </c>
      <c r="E33" s="20">
        <f t="shared" si="10"/>
        <v>0.88554880765217592</v>
      </c>
      <c r="F33" s="19">
        <f t="shared" si="11"/>
        <v>129.63696586688147</v>
      </c>
      <c r="G33" s="18">
        <f t="shared" si="13"/>
        <v>981.726058382931</v>
      </c>
      <c r="H33" s="30"/>
      <c r="I33" s="12">
        <f t="shared" si="12"/>
        <v>1</v>
      </c>
    </row>
    <row r="34" spans="1:9" hidden="1" x14ac:dyDescent="0.2">
      <c r="A34" s="22">
        <v>9</v>
      </c>
      <c r="B34" s="31"/>
      <c r="C34" s="19">
        <f t="shared" si="8"/>
        <v>146.39166666666668</v>
      </c>
      <c r="D34" s="19">
        <f t="shared" si="9"/>
        <v>146.39166666666668</v>
      </c>
      <c r="E34" s="20">
        <f t="shared" si="10"/>
        <v>0.87219594949342127</v>
      </c>
      <c r="F34" s="19">
        <f t="shared" si="11"/>
        <v>127.68221870625777</v>
      </c>
      <c r="G34" s="18">
        <f t="shared" si="13"/>
        <v>1109.4082770891887</v>
      </c>
      <c r="H34" s="30"/>
      <c r="I34" s="12">
        <f t="shared" si="12"/>
        <v>1</v>
      </c>
    </row>
    <row r="35" spans="1:9" hidden="1" x14ac:dyDescent="0.2">
      <c r="A35" s="22">
        <v>10</v>
      </c>
      <c r="B35" s="32"/>
      <c r="C35" s="19">
        <f t="shared" si="8"/>
        <v>146.39166666666668</v>
      </c>
      <c r="D35" s="24">
        <f t="shared" si="9"/>
        <v>146.39166666666668</v>
      </c>
      <c r="E35" s="20">
        <f t="shared" si="10"/>
        <v>0.85904443407203712</v>
      </c>
      <c r="F35" s="24">
        <f t="shared" si="11"/>
        <v>125.75694644452898</v>
      </c>
      <c r="G35" s="18">
        <f t="shared" si="13"/>
        <v>1235.1652235337176</v>
      </c>
      <c r="H35" s="30"/>
      <c r="I35" s="12">
        <f t="shared" si="12"/>
        <v>1</v>
      </c>
    </row>
    <row r="36" spans="1:9" hidden="1" x14ac:dyDescent="0.2">
      <c r="A36" s="22">
        <v>11</v>
      </c>
      <c r="B36" s="32"/>
      <c r="C36" s="19">
        <f t="shared" si="8"/>
        <v>146.39166666666668</v>
      </c>
      <c r="D36" s="24">
        <f t="shared" si="9"/>
        <v>146.39166666666668</v>
      </c>
      <c r="E36" s="20">
        <f t="shared" si="10"/>
        <v>0.84609122541644266</v>
      </c>
      <c r="F36" s="24">
        <f t="shared" si="11"/>
        <v>123.86070464075542</v>
      </c>
      <c r="G36" s="18">
        <f t="shared" si="13"/>
        <v>1359.0259281744729</v>
      </c>
      <c r="H36" s="30"/>
      <c r="I36" s="12">
        <f t="shared" si="12"/>
        <v>1</v>
      </c>
    </row>
    <row r="37" spans="1:9" hidden="1" x14ac:dyDescent="0.2">
      <c r="A37" s="22">
        <v>12</v>
      </c>
      <c r="B37" s="32"/>
      <c r="C37" s="19">
        <f t="shared" si="8"/>
        <v>146.39166666666668</v>
      </c>
      <c r="D37" s="24">
        <f t="shared" si="9"/>
        <v>146.39166666666668</v>
      </c>
      <c r="E37" s="20">
        <f t="shared" si="10"/>
        <v>0.83333333333333337</v>
      </c>
      <c r="F37" s="24">
        <f t="shared" si="11"/>
        <v>121.99305555555557</v>
      </c>
      <c r="G37" s="18">
        <f t="shared" si="13"/>
        <v>1481.0189837300286</v>
      </c>
      <c r="H37" s="30"/>
      <c r="I37" s="12">
        <f t="shared" si="12"/>
        <v>1</v>
      </c>
    </row>
    <row r="38" spans="1:9" hidden="1" x14ac:dyDescent="0.2">
      <c r="I38" s="11">
        <f>MATCH(1,I26:I37,0)</f>
        <v>1</v>
      </c>
    </row>
    <row r="39" spans="1:9" x14ac:dyDescent="0.2">
      <c r="A39" s="11"/>
    </row>
    <row r="40" spans="1:9" x14ac:dyDescent="0.2">
      <c r="A40" s="11"/>
    </row>
    <row r="41" spans="1:9" x14ac:dyDescent="0.2">
      <c r="A41" s="26"/>
      <c r="B41" s="26"/>
      <c r="C41" s="27"/>
      <c r="D41" s="27"/>
      <c r="E41" s="28"/>
      <c r="F41" s="27"/>
      <c r="G41" s="29"/>
      <c r="I41" s="11"/>
    </row>
  </sheetData>
  <conditionalFormatting sqref="G41 G23">
    <cfRule type="cellIs" dxfId="3" priority="3" stopIfTrue="1" operator="greaterThan">
      <formula>0</formula>
    </cfRule>
  </conditionalFormatting>
  <conditionalFormatting sqref="G26:G37">
    <cfRule type="cellIs" dxfId="2" priority="4" stopIfTrue="1" operator="greaterThan">
      <formula>0</formula>
    </cfRule>
  </conditionalFormatting>
  <conditionalFormatting sqref="G3:G22">
    <cfRule type="cellIs" dxfId="1" priority="2" stopIfTrue="1" operator="greaterThan">
      <formula>0</formula>
    </cfRule>
  </conditionalFormatting>
  <conditionalFormatting sqref="H4:H22">
    <cfRule type="cellIs" dxfId="0" priority="1" stopIfTrue="1" operator="greaterThan">
      <formula>0</formula>
    </cfRule>
  </conditionalFormatting>
  <pageMargins left="0.8" right="0.24" top="0.94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5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5</vt:i4>
      </vt:variant>
    </vt:vector>
  </HeadingPairs>
  <TitlesOfParts>
    <vt:vector size="11" baseType="lpstr">
      <vt:lpstr>ФЗП</vt:lpstr>
      <vt:lpstr>Лист1</vt:lpstr>
      <vt:lpstr>Лист4</vt:lpstr>
      <vt:lpstr>расч </vt:lpstr>
      <vt:lpstr>Расчет_окупаемости</vt:lpstr>
      <vt:lpstr>NPV</vt:lpstr>
      <vt:lpstr>'расч '!Заголовки_для_печати</vt:lpstr>
      <vt:lpstr>ФЗП!Заголовки_для_печати</vt:lpstr>
      <vt:lpstr>'расч '!Область_печати</vt:lpstr>
      <vt:lpstr>Расчет_окупаемости!Область_печати</vt:lpstr>
      <vt:lpstr>ФЗП!Область_печати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Ульянов Дмитрий Вячеславович</dc:creator>
  <cp:lastModifiedBy>Файзуллин Юрий Андреевич</cp:lastModifiedBy>
  <dcterms:created xsi:type="dcterms:W3CDTF">2019-02-04T10:25:02Z</dcterms:created>
  <dcterms:modified xsi:type="dcterms:W3CDTF">2026-04-23T12:32:13Z</dcterms:modified>
</cp:coreProperties>
</file>